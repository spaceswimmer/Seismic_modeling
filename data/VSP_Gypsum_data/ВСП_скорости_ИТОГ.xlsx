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server\Ngen_3_ВЫПОЛНЕНИЕ\2025.07 - (177) ННТС, Гипсовый (ОГТ-3D на S-волнах)\040 - Обработка\Обработка ВСП\"/>
    </mc:Choice>
  </mc:AlternateContent>
  <xr:revisionPtr revIDLastSave="0" documentId="13_ncr:1_{C4E8AA2A-F699-4E7B-9F82-8784BFF5398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kv_F_P" sheetId="1" r:id="rId1"/>
    <sheet name="Skv_F_S" sheetId="2" r:id="rId2"/>
    <sheet name="Skv_E_P" sheetId="3" r:id="rId3"/>
    <sheet name="Skv_E_S" sheetId="4" r:id="rId4"/>
    <sheet name="Лист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S4OKyVgRQsnq18KloTi2tK1e/TCXlSl4uZq6TDOAWLM="/>
    </ext>
  </extLst>
</workbook>
</file>

<file path=xl/calcChain.xml><?xml version="1.0" encoding="utf-8"?>
<calcChain xmlns="http://schemas.openxmlformats.org/spreadsheetml/2006/main">
  <c r="F4" i="3" l="1"/>
  <c r="F3" i="4"/>
  <c r="D29" i="4"/>
  <c r="E29" i="4" s="1"/>
  <c r="D30" i="4"/>
  <c r="E30" i="4" s="1"/>
  <c r="D31" i="4"/>
  <c r="E31" i="4" s="1"/>
  <c r="D32" i="4"/>
  <c r="E32" i="4" s="1"/>
  <c r="D33" i="4"/>
  <c r="E33" i="4" s="1"/>
  <c r="D29" i="3"/>
  <c r="E29" i="3" s="1"/>
  <c r="D30" i="3"/>
  <c r="E30" i="3" s="1"/>
  <c r="D31" i="3"/>
  <c r="D32" i="3"/>
  <c r="E32" i="3" s="1"/>
  <c r="D33" i="3"/>
  <c r="E33" i="3" s="1"/>
  <c r="E31" i="3"/>
  <c r="F29" i="3" s="1"/>
  <c r="D3" i="3"/>
  <c r="E3" i="3" s="1"/>
  <c r="D28" i="4"/>
  <c r="E28" i="4" s="1"/>
  <c r="F28" i="4" s="1"/>
  <c r="D27" i="4"/>
  <c r="E27" i="4" s="1"/>
  <c r="F29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D28" i="3"/>
  <c r="E28" i="3" s="1"/>
  <c r="D27" i="3"/>
  <c r="E27" i="3" s="1"/>
  <c r="D26" i="3"/>
  <c r="E26" i="3" s="1"/>
  <c r="D25" i="3"/>
  <c r="E25" i="3" s="1"/>
  <c r="D24" i="3"/>
  <c r="E24" i="3" s="1"/>
  <c r="F26" i="3" s="1"/>
  <c r="D23" i="3"/>
  <c r="E23" i="3" s="1"/>
  <c r="F25" i="3" s="1"/>
  <c r="D22" i="3"/>
  <c r="E22" i="3" s="1"/>
  <c r="F24" i="3" s="1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D6" i="3"/>
  <c r="E6" i="3" s="1"/>
  <c r="D5" i="3"/>
  <c r="E5" i="3" s="1"/>
  <c r="D4" i="3"/>
  <c r="E4" i="3" s="1"/>
  <c r="D2" i="3"/>
  <c r="E2" i="3" s="1"/>
  <c r="F3" i="3" s="1"/>
  <c r="D28" i="2"/>
  <c r="E28" i="2" s="1"/>
  <c r="D27" i="2"/>
  <c r="E27" i="2" s="1"/>
  <c r="D26" i="2"/>
  <c r="E26" i="2" s="1"/>
  <c r="F28" i="2" s="1"/>
  <c r="D25" i="2"/>
  <c r="E25" i="2" s="1"/>
  <c r="F27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E3" i="2"/>
  <c r="D3" i="2"/>
  <c r="D2" i="2"/>
  <c r="E2" i="2" s="1"/>
  <c r="D28" i="1"/>
  <c r="E28" i="1" s="1"/>
  <c r="D27" i="1"/>
  <c r="E27" i="1" s="1"/>
  <c r="D26" i="1"/>
  <c r="E26" i="1" s="1"/>
  <c r="F28" i="1" s="1"/>
  <c r="D25" i="1"/>
  <c r="E25" i="1" s="1"/>
  <c r="F27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  <c r="F27" i="3" l="1"/>
  <c r="F5" i="3"/>
  <c r="G23" i="3"/>
  <c r="F23" i="3"/>
  <c r="F6" i="3"/>
  <c r="F7" i="3"/>
  <c r="F33" i="3"/>
  <c r="G29" i="3"/>
  <c r="G6" i="3"/>
  <c r="F22" i="3"/>
  <c r="G21" i="4"/>
  <c r="F21" i="4"/>
  <c r="F22" i="4"/>
  <c r="F23" i="4"/>
  <c r="F24" i="4"/>
  <c r="F33" i="4"/>
  <c r="G27" i="4"/>
  <c r="F27" i="4"/>
  <c r="G32" i="4"/>
  <c r="F32" i="4"/>
  <c r="F26" i="4"/>
  <c r="F31" i="4"/>
  <c r="G30" i="4"/>
  <c r="G24" i="4"/>
  <c r="G26" i="4"/>
  <c r="G31" i="4"/>
  <c r="F25" i="4"/>
  <c r="F30" i="4"/>
  <c r="G29" i="4"/>
  <c r="G23" i="4"/>
  <c r="G25" i="4"/>
  <c r="G28" i="4"/>
  <c r="G22" i="4"/>
  <c r="G6" i="4"/>
  <c r="F5" i="4"/>
  <c r="F30" i="3"/>
  <c r="F32" i="3"/>
  <c r="G30" i="3"/>
  <c r="F31" i="3"/>
  <c r="G32" i="3"/>
  <c r="G27" i="3"/>
  <c r="G28" i="3"/>
  <c r="F28" i="3"/>
  <c r="G26" i="3"/>
  <c r="G31" i="3"/>
  <c r="G25" i="3"/>
  <c r="G24" i="3"/>
  <c r="F19" i="4"/>
  <c r="G20" i="4"/>
  <c r="F10" i="4"/>
  <c r="G11" i="4"/>
  <c r="G10" i="4"/>
  <c r="F9" i="4"/>
  <c r="G12" i="4"/>
  <c r="F11" i="4"/>
  <c r="F20" i="4"/>
  <c r="F15" i="4"/>
  <c r="G16" i="4"/>
  <c r="G9" i="4"/>
  <c r="F8" i="4"/>
  <c r="G13" i="4"/>
  <c r="F12" i="4"/>
  <c r="G15" i="4"/>
  <c r="F14" i="4"/>
  <c r="F6" i="4"/>
  <c r="G7" i="4"/>
  <c r="F13" i="4"/>
  <c r="G14" i="4"/>
  <c r="F4" i="4"/>
  <c r="G5" i="4"/>
  <c r="G4" i="4"/>
  <c r="F16" i="4"/>
  <c r="G17" i="4"/>
  <c r="G18" i="4"/>
  <c r="F17" i="4"/>
  <c r="F7" i="4"/>
  <c r="G8" i="4"/>
  <c r="F18" i="4"/>
  <c r="G19" i="4"/>
  <c r="F19" i="3"/>
  <c r="G20" i="3"/>
  <c r="G21" i="3"/>
  <c r="F20" i="3"/>
  <c r="F10" i="3"/>
  <c r="G11" i="3"/>
  <c r="G12" i="3"/>
  <c r="F11" i="3"/>
  <c r="G13" i="3"/>
  <c r="F12" i="3"/>
  <c r="F13" i="3"/>
  <c r="G14" i="3"/>
  <c r="G15" i="3"/>
  <c r="F14" i="3"/>
  <c r="G9" i="3"/>
  <c r="F8" i="3"/>
  <c r="G10" i="3"/>
  <c r="F9" i="3"/>
  <c r="F15" i="3"/>
  <c r="G16" i="3"/>
  <c r="G18" i="3"/>
  <c r="F17" i="3"/>
  <c r="F21" i="3"/>
  <c r="G22" i="3"/>
  <c r="G5" i="3"/>
  <c r="G4" i="3"/>
  <c r="G7" i="3"/>
  <c r="F16" i="3"/>
  <c r="G17" i="3"/>
  <c r="G8" i="3"/>
  <c r="F18" i="3"/>
  <c r="G19" i="3"/>
  <c r="F11" i="1"/>
  <c r="G12" i="1"/>
  <c r="G13" i="1"/>
  <c r="F12" i="1"/>
  <c r="G14" i="1"/>
  <c r="F13" i="1"/>
  <c r="F22" i="2"/>
  <c r="G23" i="2"/>
  <c r="F23" i="1"/>
  <c r="G24" i="1"/>
  <c r="G9" i="2"/>
  <c r="F8" i="2"/>
  <c r="G26" i="1"/>
  <c r="F25" i="1"/>
  <c r="G16" i="1"/>
  <c r="F15" i="1"/>
  <c r="F11" i="2"/>
  <c r="G12" i="2"/>
  <c r="G24" i="2"/>
  <c r="F23" i="2"/>
  <c r="G20" i="2"/>
  <c r="F19" i="2"/>
  <c r="G25" i="1"/>
  <c r="F24" i="1"/>
  <c r="F21" i="2"/>
  <c r="G22" i="2"/>
  <c r="F14" i="1"/>
  <c r="G15" i="1"/>
  <c r="G4" i="1"/>
  <c r="F3" i="1"/>
  <c r="F4" i="1"/>
  <c r="G5" i="1"/>
  <c r="F12" i="2"/>
  <c r="G13" i="2"/>
  <c r="F24" i="2"/>
  <c r="G25" i="2"/>
  <c r="F16" i="1"/>
  <c r="G17" i="1"/>
  <c r="F5" i="1"/>
  <c r="G6" i="1"/>
  <c r="F17" i="1"/>
  <c r="G18" i="1"/>
  <c r="G14" i="2"/>
  <c r="F13" i="2"/>
  <c r="G26" i="2"/>
  <c r="F25" i="2"/>
  <c r="F6" i="1"/>
  <c r="G7" i="1"/>
  <c r="G19" i="1"/>
  <c r="F18" i="1"/>
  <c r="G15" i="2"/>
  <c r="F14" i="2"/>
  <c r="G27" i="2"/>
  <c r="F26" i="2"/>
  <c r="F7" i="1"/>
  <c r="G8" i="1"/>
  <c r="G20" i="1"/>
  <c r="F19" i="1"/>
  <c r="G4" i="2"/>
  <c r="F4" i="2"/>
  <c r="G5" i="2"/>
  <c r="F3" i="2"/>
  <c r="F15" i="2"/>
  <c r="G16" i="2"/>
  <c r="F8" i="1"/>
  <c r="G9" i="1"/>
  <c r="F20" i="1"/>
  <c r="G21" i="1"/>
  <c r="F16" i="2"/>
  <c r="G17" i="2"/>
  <c r="G10" i="1"/>
  <c r="F9" i="1"/>
  <c r="G22" i="1"/>
  <c r="F21" i="1"/>
  <c r="G8" i="2"/>
  <c r="F7" i="2"/>
  <c r="G21" i="2"/>
  <c r="F20" i="2"/>
  <c r="F9" i="2"/>
  <c r="G10" i="2"/>
  <c r="F26" i="1"/>
  <c r="G27" i="1"/>
  <c r="G11" i="2"/>
  <c r="F10" i="2"/>
  <c r="F5" i="2"/>
  <c r="F17" i="2"/>
  <c r="G18" i="2"/>
  <c r="G11" i="1"/>
  <c r="F10" i="1"/>
  <c r="G23" i="1"/>
  <c r="F22" i="1"/>
  <c r="F6" i="2"/>
  <c r="G7" i="2"/>
  <c r="G6" i="2"/>
  <c r="F18" i="2"/>
  <c r="G19" i="2"/>
</calcChain>
</file>

<file path=xl/sharedStrings.xml><?xml version="1.0" encoding="utf-8"?>
<sst xmlns="http://schemas.openxmlformats.org/spreadsheetml/2006/main" count="48" uniqueCount="13">
  <si>
    <t>offset</t>
  </si>
  <si>
    <t>DEPTH</t>
  </si>
  <si>
    <t>T_pick</t>
  </si>
  <si>
    <t>cos</t>
  </si>
  <si>
    <t>Т_в</t>
  </si>
  <si>
    <t>Vp (5 точек)</t>
  </si>
  <si>
    <t>Vp (7 точек)</t>
  </si>
  <si>
    <t>Vs (5 точек)</t>
  </si>
  <si>
    <t>Vs (7 точек)</t>
  </si>
  <si>
    <t>Skv E</t>
  </si>
  <si>
    <t>P-vawe</t>
  </si>
  <si>
    <t>S-vawe</t>
  </si>
  <si>
    <t>Skv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</si>
</sst>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20" fontId="2" fillId="0" borderId="0" xfId="0" applyNumberFormat="1" applyFont="1"/>
    <xf numFmtId="2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xMode val="edge"/>
          <c:yMode val="edge"/>
          <c:x val="8.1736198786662856E-2"/>
          <c:y val="5.1295229887308863E-2"/>
          <c:w val="0.88054853106941111"/>
          <c:h val="0.92438193981971162"/>
        </c:manualLayout>
      </c:layout>
      <c:scatterChart>
        <c:scatterStyle val="lineMarker"/>
        <c:varyColors val="0"/>
        <c:ser>
          <c:idx val="0"/>
          <c:order val="0"/>
          <c:tx>
            <c:v>T_pick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Skv_F_P!$C$2:$C$28</c:f>
              <c:numCache>
                <c:formatCode>General</c:formatCode>
                <c:ptCount val="27"/>
                <c:pt idx="0">
                  <c:v>10.662650108337401</c:v>
                </c:pt>
                <c:pt idx="1">
                  <c:v>10.5993976593018</c:v>
                </c:pt>
                <c:pt idx="2">
                  <c:v>10.753012657165501</c:v>
                </c:pt>
                <c:pt idx="3">
                  <c:v>10.906626701355</c:v>
                </c:pt>
                <c:pt idx="4">
                  <c:v>11.1524095535278</c:v>
                </c:pt>
                <c:pt idx="5">
                  <c:v>11.183133125305201</c:v>
                </c:pt>
                <c:pt idx="6">
                  <c:v>10.4475908279419</c:v>
                </c:pt>
                <c:pt idx="7">
                  <c:v>10.4475908279419</c:v>
                </c:pt>
                <c:pt idx="8">
                  <c:v>10.2993984222412</c:v>
                </c:pt>
                <c:pt idx="9">
                  <c:v>10.595783233642599</c:v>
                </c:pt>
                <c:pt idx="10">
                  <c:v>11.056627273559601</c:v>
                </c:pt>
                <c:pt idx="11">
                  <c:v>11.188554763793899</c:v>
                </c:pt>
                <c:pt idx="12">
                  <c:v>11.345783233642599</c:v>
                </c:pt>
                <c:pt idx="13">
                  <c:v>11.5566263198853</c:v>
                </c:pt>
                <c:pt idx="14">
                  <c:v>11.6222896575928</c:v>
                </c:pt>
                <c:pt idx="15">
                  <c:v>12.0162649154663</c:v>
                </c:pt>
                <c:pt idx="16">
                  <c:v>12.213253021240201</c:v>
                </c:pt>
                <c:pt idx="17">
                  <c:v>12.6072292327881</c:v>
                </c:pt>
                <c:pt idx="18">
                  <c:v>12.8999996185303</c:v>
                </c:pt>
                <c:pt idx="19">
                  <c:v>13.314456939697299</c:v>
                </c:pt>
                <c:pt idx="20">
                  <c:v>13.7078313827515</c:v>
                </c:pt>
                <c:pt idx="21">
                  <c:v>13.8560247421265</c:v>
                </c:pt>
                <c:pt idx="22">
                  <c:v>14.3006029129028</c:v>
                </c:pt>
                <c:pt idx="23">
                  <c:v>14.671084403991699</c:v>
                </c:pt>
                <c:pt idx="24">
                  <c:v>14.967470169067401</c:v>
                </c:pt>
                <c:pt idx="25">
                  <c:v>14.819277763366699</c:v>
                </c:pt>
                <c:pt idx="26">
                  <c:v>15.1897592544556</c:v>
                </c:pt>
              </c:numCache>
            </c:numRef>
          </c:xVal>
          <c:yVal>
            <c:numRef>
              <c:f>Skv_F_P!$B$2:$B$28</c:f>
              <c:numCache>
                <c:formatCode>General</c:formatCode>
                <c:ptCount val="27"/>
                <c:pt idx="0">
                  <c:v>1.1000000238418599</c:v>
                </c:pt>
                <c:pt idx="1">
                  <c:v>2.0999999046325701</c:v>
                </c:pt>
                <c:pt idx="2">
                  <c:v>3.0999999046325701</c:v>
                </c:pt>
                <c:pt idx="3">
                  <c:v>4.0999999046325701</c:v>
                </c:pt>
                <c:pt idx="4">
                  <c:v>5.0999999046325701</c:v>
                </c:pt>
                <c:pt idx="5">
                  <c:v>6.0999999046325701</c:v>
                </c:pt>
                <c:pt idx="6">
                  <c:v>7.0999999046325701</c:v>
                </c:pt>
                <c:pt idx="7">
                  <c:v>8.1000003814697301</c:v>
                </c:pt>
                <c:pt idx="8">
                  <c:v>9.1000003814697301</c:v>
                </c:pt>
                <c:pt idx="9">
                  <c:v>10.1000003814697</c:v>
                </c:pt>
                <c:pt idx="10">
                  <c:v>11.1000003814697</c:v>
                </c:pt>
                <c:pt idx="11">
                  <c:v>12.1000003814697</c:v>
                </c:pt>
                <c:pt idx="12">
                  <c:v>13.1000003814697</c:v>
                </c:pt>
                <c:pt idx="13">
                  <c:v>14.1000003814697</c:v>
                </c:pt>
                <c:pt idx="14">
                  <c:v>15.1000003814697</c:v>
                </c:pt>
                <c:pt idx="15">
                  <c:v>16.100000381469702</c:v>
                </c:pt>
                <c:pt idx="16">
                  <c:v>17.100000381469702</c:v>
                </c:pt>
                <c:pt idx="17">
                  <c:v>18.100000381469702</c:v>
                </c:pt>
                <c:pt idx="18">
                  <c:v>19.100000381469702</c:v>
                </c:pt>
                <c:pt idx="19">
                  <c:v>20.100000381469702</c:v>
                </c:pt>
                <c:pt idx="20">
                  <c:v>21.100000381469702</c:v>
                </c:pt>
                <c:pt idx="21">
                  <c:v>22.100000381469702</c:v>
                </c:pt>
                <c:pt idx="22">
                  <c:v>23.100000381469702</c:v>
                </c:pt>
                <c:pt idx="23">
                  <c:v>24.100000381469702</c:v>
                </c:pt>
                <c:pt idx="24">
                  <c:v>25.100000381469702</c:v>
                </c:pt>
                <c:pt idx="25">
                  <c:v>26.100000381469702</c:v>
                </c:pt>
                <c:pt idx="26">
                  <c:v>27.100000381469702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89-4475-A0F4-014326716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369680"/>
        <c:axId val="124080000"/>
      </c:scatterChart>
      <c:valAx>
        <c:axId val="16153696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24080000"/>
        <c:crosses val="autoZero"/>
        <c:crossBetween val="midCat"/>
      </c:valAx>
      <c:valAx>
        <c:axId val="124080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6153696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097065360924"/>
          <c:y val="6.4676268700243317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xMode val="edge"/>
          <c:yMode val="edge"/>
          <c:x val="8.1736198786662856E-2"/>
          <c:y val="5.1295229887308863E-2"/>
          <c:w val="0.88054853106941111"/>
          <c:h val="0.92438193981971162"/>
        </c:manualLayout>
      </c:layout>
      <c:scatterChart>
        <c:scatterStyle val="lineMarker"/>
        <c:varyColors val="0"/>
        <c:ser>
          <c:idx val="0"/>
          <c:order val="0"/>
          <c:tx>
            <c:v>Vp (5 точек)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Skv_F_P!$F$2:$F$28</c:f>
              <c:numCache>
                <c:formatCode>0</c:formatCode>
                <c:ptCount val="27"/>
                <c:pt idx="1">
                  <c:v>705.57675410410434</c:v>
                </c:pt>
                <c:pt idx="2">
                  <c:v>749.93364150781679</c:v>
                </c:pt>
                <c:pt idx="3">
                  <c:v>878.92677489567484</c:v>
                </c:pt>
                <c:pt idx="4">
                  <c:v>1158.5367844428124</c:v>
                </c:pt>
                <c:pt idx="5">
                  <c:v>1671.5260067879033</c:v>
                </c:pt>
                <c:pt idx="6">
                  <c:v>2849.3901964160009</c:v>
                </c:pt>
                <c:pt idx="7">
                  <c:v>3208.6411664412549</c:v>
                </c:pt>
                <c:pt idx="8">
                  <c:v>2306.5977991534096</c:v>
                </c:pt>
                <c:pt idx="9">
                  <c:v>2226.8183776724181</c:v>
                </c:pt>
                <c:pt idx="10">
                  <c:v>2240.5670550998311</c:v>
                </c:pt>
                <c:pt idx="11">
                  <c:v>2670.3843522826701</c:v>
                </c:pt>
                <c:pt idx="12">
                  <c:v>3593.6212859988423</c:v>
                </c:pt>
                <c:pt idx="13">
                  <c:v>3324.5395606670595</c:v>
                </c:pt>
                <c:pt idx="14">
                  <c:v>3232.8260678343058</c:v>
                </c:pt>
                <c:pt idx="15">
                  <c:v>2897.529282169407</c:v>
                </c:pt>
                <c:pt idx="16">
                  <c:v>2674.6966602498032</c:v>
                </c:pt>
                <c:pt idx="17">
                  <c:v>2629.0732834526943</c:v>
                </c:pt>
                <c:pt idx="18">
                  <c:v>2427.4867206491513</c:v>
                </c:pt>
                <c:pt idx="19">
                  <c:v>2671.5517328089327</c:v>
                </c:pt>
                <c:pt idx="20">
                  <c:v>2675.8738214053983</c:v>
                </c:pt>
                <c:pt idx="21">
                  <c:v>2731.8194567863575</c:v>
                </c:pt>
                <c:pt idx="22">
                  <c:v>2734.6914096431319</c:v>
                </c:pt>
                <c:pt idx="23">
                  <c:v>3034.4971164895596</c:v>
                </c:pt>
                <c:pt idx="24">
                  <c:v>3978.1111721507277</c:v>
                </c:pt>
                <c:pt idx="25">
                  <c:v>4526.561590635115</c:v>
                </c:pt>
                <c:pt idx="26">
                  <c:v>3438.4363804973318</c:v>
                </c:pt>
              </c:numCache>
            </c:numRef>
          </c:xVal>
          <c:yVal>
            <c:numRef>
              <c:f>Skv_F_P!$B$2:$B$28</c:f>
              <c:numCache>
                <c:formatCode>General</c:formatCode>
                <c:ptCount val="27"/>
                <c:pt idx="0">
                  <c:v>1.1000000238418599</c:v>
                </c:pt>
                <c:pt idx="1">
                  <c:v>2.0999999046325701</c:v>
                </c:pt>
                <c:pt idx="2">
                  <c:v>3.0999999046325701</c:v>
                </c:pt>
                <c:pt idx="3">
                  <c:v>4.0999999046325701</c:v>
                </c:pt>
                <c:pt idx="4">
                  <c:v>5.0999999046325701</c:v>
                </c:pt>
                <c:pt idx="5">
                  <c:v>6.0999999046325701</c:v>
                </c:pt>
                <c:pt idx="6">
                  <c:v>7.0999999046325701</c:v>
                </c:pt>
                <c:pt idx="7">
                  <c:v>8.1000003814697301</c:v>
                </c:pt>
                <c:pt idx="8">
                  <c:v>9.1000003814697301</c:v>
                </c:pt>
                <c:pt idx="9">
                  <c:v>10.1000003814697</c:v>
                </c:pt>
                <c:pt idx="10">
                  <c:v>11.1000003814697</c:v>
                </c:pt>
                <c:pt idx="11">
                  <c:v>12.1000003814697</c:v>
                </c:pt>
                <c:pt idx="12">
                  <c:v>13.1000003814697</c:v>
                </c:pt>
                <c:pt idx="13">
                  <c:v>14.1000003814697</c:v>
                </c:pt>
                <c:pt idx="14">
                  <c:v>15.1000003814697</c:v>
                </c:pt>
                <c:pt idx="15">
                  <c:v>16.100000381469702</c:v>
                </c:pt>
                <c:pt idx="16">
                  <c:v>17.100000381469702</c:v>
                </c:pt>
                <c:pt idx="17">
                  <c:v>18.100000381469702</c:v>
                </c:pt>
                <c:pt idx="18">
                  <c:v>19.100000381469702</c:v>
                </c:pt>
                <c:pt idx="19">
                  <c:v>20.100000381469702</c:v>
                </c:pt>
                <c:pt idx="20">
                  <c:v>21.100000381469702</c:v>
                </c:pt>
                <c:pt idx="21">
                  <c:v>22.100000381469702</c:v>
                </c:pt>
                <c:pt idx="22">
                  <c:v>23.100000381469702</c:v>
                </c:pt>
                <c:pt idx="23">
                  <c:v>24.100000381469702</c:v>
                </c:pt>
                <c:pt idx="24">
                  <c:v>25.100000381469702</c:v>
                </c:pt>
                <c:pt idx="25">
                  <c:v>26.100000381469702</c:v>
                </c:pt>
                <c:pt idx="26">
                  <c:v>27.100000381469702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C3-4E41-9EF3-2FD4006B3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397637"/>
        <c:axId val="1449208795"/>
      </c:scatterChart>
      <c:valAx>
        <c:axId val="3773976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49208795"/>
        <c:crosses val="autoZero"/>
        <c:crossBetween val="midCat"/>
      </c:valAx>
      <c:valAx>
        <c:axId val="1449208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7739763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2318830461990715"/>
          <c:y val="6.2465102309972445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xMode val="edge"/>
          <c:yMode val="edge"/>
          <c:x val="8.1736198786662856E-2"/>
          <c:y val="5.1295229887308863E-2"/>
          <c:w val="0.88054853106941111"/>
          <c:h val="0.92438193981971162"/>
        </c:manualLayout>
      </c:layout>
      <c:scatterChart>
        <c:scatterStyle val="lineMarker"/>
        <c:varyColors val="0"/>
        <c:ser>
          <c:idx val="0"/>
          <c:order val="0"/>
          <c:tx>
            <c:v>T_pick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Skv_F_S!$C$2:$C$28</c:f>
              <c:numCache>
                <c:formatCode>General</c:formatCode>
                <c:ptCount val="27"/>
                <c:pt idx="0">
                  <c:v>19.200000762939499</c:v>
                </c:pt>
                <c:pt idx="1">
                  <c:v>17.200000762939499</c:v>
                </c:pt>
                <c:pt idx="2">
                  <c:v>17.300001144409201</c:v>
                </c:pt>
                <c:pt idx="3">
                  <c:v>17.600000381469702</c:v>
                </c:pt>
                <c:pt idx="4">
                  <c:v>18.100000381469702</c:v>
                </c:pt>
                <c:pt idx="5">
                  <c:v>18.600000381469702</c:v>
                </c:pt>
                <c:pt idx="6">
                  <c:v>19.100000381469702</c:v>
                </c:pt>
                <c:pt idx="7">
                  <c:v>20.100000381469702</c:v>
                </c:pt>
                <c:pt idx="8">
                  <c:v>20.780723571777301</c:v>
                </c:pt>
                <c:pt idx="9">
                  <c:v>21.600000381469702</c:v>
                </c:pt>
                <c:pt idx="10">
                  <c:v>22.600000381469702</c:v>
                </c:pt>
                <c:pt idx="11">
                  <c:v>23.600000381469702</c:v>
                </c:pt>
                <c:pt idx="12">
                  <c:v>24.100000381469702</c:v>
                </c:pt>
                <c:pt idx="13">
                  <c:v>24.600000381469702</c:v>
                </c:pt>
                <c:pt idx="14">
                  <c:v>25.600000381469702</c:v>
                </c:pt>
                <c:pt idx="15">
                  <c:v>26.100000381469702</c:v>
                </c:pt>
                <c:pt idx="16">
                  <c:v>27.100000381469702</c:v>
                </c:pt>
                <c:pt idx="17">
                  <c:v>28.0999965667725</c:v>
                </c:pt>
                <c:pt idx="18">
                  <c:v>29.834348678588899</c:v>
                </c:pt>
                <c:pt idx="19">
                  <c:v>30.221103668212901</c:v>
                </c:pt>
                <c:pt idx="20">
                  <c:v>30.736766815185501</c:v>
                </c:pt>
                <c:pt idx="21">
                  <c:v>31.381353378295898</c:v>
                </c:pt>
                <c:pt idx="22">
                  <c:v>32.0259399414062</c:v>
                </c:pt>
                <c:pt idx="23">
                  <c:v>32.799430847167997</c:v>
                </c:pt>
                <c:pt idx="24">
                  <c:v>33.6373901367188</c:v>
                </c:pt>
                <c:pt idx="25">
                  <c:v>34.410881042480497</c:v>
                </c:pt>
                <c:pt idx="26">
                  <c:v>35.184371948242202</c:v>
                </c:pt>
              </c:numCache>
            </c:numRef>
          </c:xVal>
          <c:yVal>
            <c:numRef>
              <c:f>Skv_F_S!$B$2:$B$28</c:f>
              <c:numCache>
                <c:formatCode>General</c:formatCode>
                <c:ptCount val="27"/>
                <c:pt idx="0">
                  <c:v>1.1000000238418599</c:v>
                </c:pt>
                <c:pt idx="1">
                  <c:v>2.0999999046325701</c:v>
                </c:pt>
                <c:pt idx="2">
                  <c:v>3.0999999046325701</c:v>
                </c:pt>
                <c:pt idx="3">
                  <c:v>4.0999999046325701</c:v>
                </c:pt>
                <c:pt idx="4">
                  <c:v>5.0999999046325701</c:v>
                </c:pt>
                <c:pt idx="5">
                  <c:v>6.0999999046325701</c:v>
                </c:pt>
                <c:pt idx="6">
                  <c:v>7.0999999046325701</c:v>
                </c:pt>
                <c:pt idx="7">
                  <c:v>8.1000003814697301</c:v>
                </c:pt>
                <c:pt idx="8">
                  <c:v>9.1000003814697301</c:v>
                </c:pt>
                <c:pt idx="9">
                  <c:v>10.1000003814697</c:v>
                </c:pt>
                <c:pt idx="10">
                  <c:v>11.1000003814697</c:v>
                </c:pt>
                <c:pt idx="11">
                  <c:v>12.1000003814697</c:v>
                </c:pt>
                <c:pt idx="12">
                  <c:v>13.1000003814697</c:v>
                </c:pt>
                <c:pt idx="13">
                  <c:v>14.1000003814697</c:v>
                </c:pt>
                <c:pt idx="14">
                  <c:v>15.1000003814697</c:v>
                </c:pt>
                <c:pt idx="15">
                  <c:v>16.100000381469702</c:v>
                </c:pt>
                <c:pt idx="16">
                  <c:v>17.100000381469702</c:v>
                </c:pt>
                <c:pt idx="17">
                  <c:v>18.100000381469702</c:v>
                </c:pt>
                <c:pt idx="18">
                  <c:v>19.100000381469702</c:v>
                </c:pt>
                <c:pt idx="19">
                  <c:v>20.100000381469702</c:v>
                </c:pt>
                <c:pt idx="20">
                  <c:v>21.100000381469702</c:v>
                </c:pt>
                <c:pt idx="21">
                  <c:v>22.100000381469702</c:v>
                </c:pt>
                <c:pt idx="22">
                  <c:v>23.100000381469702</c:v>
                </c:pt>
                <c:pt idx="23">
                  <c:v>24.100000381469702</c:v>
                </c:pt>
                <c:pt idx="24">
                  <c:v>25.100000381469702</c:v>
                </c:pt>
                <c:pt idx="25">
                  <c:v>26.100000381469702</c:v>
                </c:pt>
                <c:pt idx="26">
                  <c:v>27.100000381469702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DD-4BD5-B5C3-8DE3D0ECE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820929"/>
        <c:axId val="1873606229"/>
      </c:scatterChart>
      <c:valAx>
        <c:axId val="19848209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73606229"/>
        <c:crosses val="autoZero"/>
        <c:crossBetween val="midCat"/>
      </c:valAx>
      <c:valAx>
        <c:axId val="1873606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8482092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097065360924"/>
          <c:y val="6.4676268700243317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xMode val="edge"/>
          <c:yMode val="edge"/>
          <c:x val="8.1736198786662856E-2"/>
          <c:y val="5.1295229887308863E-2"/>
          <c:w val="0.88054853106941111"/>
          <c:h val="0.92438193981971162"/>
        </c:manualLayout>
      </c:layout>
      <c:scatterChart>
        <c:scatterStyle val="lineMarker"/>
        <c:varyColors val="0"/>
        <c:ser>
          <c:idx val="0"/>
          <c:order val="0"/>
          <c:tx>
            <c:v>Vs (5 точек)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Skv_F_S!$F$2:$F$28</c:f>
              <c:numCache>
                <c:formatCode>0</c:formatCode>
                <c:ptCount val="27"/>
                <c:pt idx="1">
                  <c:v>461.29421802737824</c:v>
                </c:pt>
                <c:pt idx="2">
                  <c:v>480.41879556327291</c:v>
                </c:pt>
                <c:pt idx="3">
                  <c:v>525.22265556831553</c:v>
                </c:pt>
                <c:pt idx="4">
                  <c:v>597.64512563174094</c:v>
                </c:pt>
                <c:pt idx="5">
                  <c:v>651.56850264874959</c:v>
                </c:pt>
                <c:pt idx="6">
                  <c:v>705.86201691832946</c:v>
                </c:pt>
                <c:pt idx="7">
                  <c:v>745.59633005449484</c:v>
                </c:pt>
                <c:pt idx="8">
                  <c:v>767.20141854144754</c:v>
                </c:pt>
                <c:pt idx="9">
                  <c:v>798.74890668477894</c:v>
                </c:pt>
                <c:pt idx="10">
                  <c:v>848.6658315968466</c:v>
                </c:pt>
                <c:pt idx="11">
                  <c:v>964.57446799682077</c:v>
                </c:pt>
                <c:pt idx="12">
                  <c:v>1062.9314739656693</c:v>
                </c:pt>
                <c:pt idx="13">
                  <c:v>1167.2844153894966</c:v>
                </c:pt>
                <c:pt idx="14">
                  <c:v>1086.6638726775911</c:v>
                </c:pt>
                <c:pt idx="15">
                  <c:v>1008.6349568020656</c:v>
                </c:pt>
                <c:pt idx="16">
                  <c:v>840.98634993195662</c:v>
                </c:pt>
                <c:pt idx="17">
                  <c:v>823.89842618345222</c:v>
                </c:pt>
                <c:pt idx="18">
                  <c:v>923.59033486804685</c:v>
                </c:pt>
                <c:pt idx="19">
                  <c:v>1117.0978235519719</c:v>
                </c:pt>
                <c:pt idx="20">
                  <c:v>1554.8505284860501</c:v>
                </c:pt>
                <c:pt idx="21">
                  <c:v>1390.409560052412</c:v>
                </c:pt>
                <c:pt idx="22">
                  <c:v>1271.518296066735</c:v>
                </c:pt>
                <c:pt idx="23">
                  <c:v>1214.8901545494778</c:v>
                </c:pt>
                <c:pt idx="24">
                  <c:v>1187.6079630630252</c:v>
                </c:pt>
                <c:pt idx="25">
                  <c:v>1190.7841584752355</c:v>
                </c:pt>
                <c:pt idx="26">
                  <c:v>1221.8736441377528</c:v>
                </c:pt>
              </c:numCache>
            </c:numRef>
          </c:xVal>
          <c:yVal>
            <c:numRef>
              <c:f>Skv_F_S!$B$2:$B$28</c:f>
              <c:numCache>
                <c:formatCode>General</c:formatCode>
                <c:ptCount val="27"/>
                <c:pt idx="0">
                  <c:v>1.1000000238418599</c:v>
                </c:pt>
                <c:pt idx="1">
                  <c:v>2.0999999046325701</c:v>
                </c:pt>
                <c:pt idx="2">
                  <c:v>3.0999999046325701</c:v>
                </c:pt>
                <c:pt idx="3">
                  <c:v>4.0999999046325701</c:v>
                </c:pt>
                <c:pt idx="4">
                  <c:v>5.0999999046325701</c:v>
                </c:pt>
                <c:pt idx="5">
                  <c:v>6.0999999046325701</c:v>
                </c:pt>
                <c:pt idx="6">
                  <c:v>7.0999999046325701</c:v>
                </c:pt>
                <c:pt idx="7">
                  <c:v>8.1000003814697301</c:v>
                </c:pt>
                <c:pt idx="8">
                  <c:v>9.1000003814697301</c:v>
                </c:pt>
                <c:pt idx="9">
                  <c:v>10.1000003814697</c:v>
                </c:pt>
                <c:pt idx="10">
                  <c:v>11.1000003814697</c:v>
                </c:pt>
                <c:pt idx="11">
                  <c:v>12.1000003814697</c:v>
                </c:pt>
                <c:pt idx="12">
                  <c:v>13.1000003814697</c:v>
                </c:pt>
                <c:pt idx="13">
                  <c:v>14.1000003814697</c:v>
                </c:pt>
                <c:pt idx="14">
                  <c:v>15.1000003814697</c:v>
                </c:pt>
                <c:pt idx="15">
                  <c:v>16.100000381469702</c:v>
                </c:pt>
                <c:pt idx="16">
                  <c:v>17.100000381469702</c:v>
                </c:pt>
                <c:pt idx="17">
                  <c:v>18.100000381469702</c:v>
                </c:pt>
                <c:pt idx="18">
                  <c:v>19.100000381469702</c:v>
                </c:pt>
                <c:pt idx="19">
                  <c:v>20.100000381469702</c:v>
                </c:pt>
                <c:pt idx="20">
                  <c:v>21.100000381469702</c:v>
                </c:pt>
                <c:pt idx="21">
                  <c:v>22.100000381469702</c:v>
                </c:pt>
                <c:pt idx="22">
                  <c:v>23.100000381469702</c:v>
                </c:pt>
                <c:pt idx="23">
                  <c:v>24.100000381469702</c:v>
                </c:pt>
                <c:pt idx="24">
                  <c:v>25.100000381469702</c:v>
                </c:pt>
                <c:pt idx="25">
                  <c:v>26.100000381469702</c:v>
                </c:pt>
                <c:pt idx="26">
                  <c:v>27.100000381469702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83-4C67-81B8-9657CCF22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378114"/>
        <c:axId val="184132628"/>
      </c:scatterChart>
      <c:valAx>
        <c:axId val="20083781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4132628"/>
        <c:crosses val="autoZero"/>
        <c:crossBetween val="midCat"/>
      </c:valAx>
      <c:valAx>
        <c:axId val="184132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0837811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5544633533711516"/>
          <c:y val="8.5111185746331475E-2"/>
          <c:w val="0.21833883667767334"/>
          <c:h val="3.5545272480750331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1736198786662856E-2"/>
          <c:y val="5.1295229887308863E-2"/>
          <c:w val="0.88054853106941111"/>
          <c:h val="0.92438193981971162"/>
        </c:manualLayout>
      </c:layout>
      <c:scatterChart>
        <c:scatterStyle val="lineMarker"/>
        <c:varyColors val="0"/>
        <c:ser>
          <c:idx val="0"/>
          <c:order val="0"/>
          <c:tx>
            <c:v>T_pick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Skv_E_P!$C$2:$C$33</c:f>
              <c:numCache>
                <c:formatCode>General</c:formatCode>
                <c:ptCount val="32"/>
                <c:pt idx="0">
                  <c:v>9.1542200000000005</c:v>
                </c:pt>
                <c:pt idx="1">
                  <c:v>8.8048199999999994</c:v>
                </c:pt>
                <c:pt idx="2">
                  <c:v>8.4204799999999995</c:v>
                </c:pt>
                <c:pt idx="3">
                  <c:v>8.0361399999999996</c:v>
                </c:pt>
                <c:pt idx="4">
                  <c:v>7.8265099999999999</c:v>
                </c:pt>
                <c:pt idx="5">
                  <c:v>7.7915700000000001</c:v>
                </c:pt>
                <c:pt idx="6">
                  <c:v>7.8614499999999996</c:v>
                </c:pt>
                <c:pt idx="7">
                  <c:v>8.0710800000000003</c:v>
                </c:pt>
                <c:pt idx="8">
                  <c:v>8.3156599999999994</c:v>
                </c:pt>
                <c:pt idx="9">
                  <c:v>8.5951799999999992</c:v>
                </c:pt>
                <c:pt idx="10">
                  <c:v>8.8397600000000001</c:v>
                </c:pt>
                <c:pt idx="11">
                  <c:v>9.2241</c:v>
                </c:pt>
                <c:pt idx="12">
                  <c:v>9.6084300000000002</c:v>
                </c:pt>
                <c:pt idx="13">
                  <c:v>9.88795</c:v>
                </c:pt>
                <c:pt idx="14">
                  <c:v>10.1325</c:v>
                </c:pt>
                <c:pt idx="15">
                  <c:v>10.446999999999999</c:v>
                </c:pt>
                <c:pt idx="16">
                  <c:v>10.691599999999999</c:v>
                </c:pt>
                <c:pt idx="17">
                  <c:v>10.9711</c:v>
                </c:pt>
                <c:pt idx="18">
                  <c:v>11.285500000000001</c:v>
                </c:pt>
                <c:pt idx="19">
                  <c:v>11.6349</c:v>
                </c:pt>
                <c:pt idx="20">
                  <c:v>11.9145</c:v>
                </c:pt>
                <c:pt idx="21">
                  <c:v>12.412000000000001</c:v>
                </c:pt>
                <c:pt idx="22">
                  <c:v>12.5434</c:v>
                </c:pt>
                <c:pt idx="23">
                  <c:v>12.912000000000001</c:v>
                </c:pt>
                <c:pt idx="24">
                  <c:v>13.1723</c:v>
                </c:pt>
                <c:pt idx="25">
                  <c:v>13.4169</c:v>
                </c:pt>
                <c:pt idx="26">
                  <c:v>13.521699999999999</c:v>
                </c:pt>
                <c:pt idx="27">
                  <c:v>13.8711</c:v>
                </c:pt>
                <c:pt idx="28">
                  <c:v>14.0807</c:v>
                </c:pt>
                <c:pt idx="29">
                  <c:v>14.2554</c:v>
                </c:pt>
                <c:pt idx="30">
                  <c:v>14.569900000000001</c:v>
                </c:pt>
                <c:pt idx="31">
                  <c:v>14.849399999999999</c:v>
                </c:pt>
              </c:numCache>
            </c:numRef>
          </c:xVal>
          <c:yVal>
            <c:numRef>
              <c:f>Skv_E_P!$B$2:$B$33</c:f>
              <c:numCache>
                <c:formatCode>General</c:formatCode>
                <c:ptCount val="32"/>
                <c:pt idx="0">
                  <c:v>-0.20000000298023199</c:v>
                </c:pt>
                <c:pt idx="1">
                  <c:v>0.80000001192092896</c:v>
                </c:pt>
                <c:pt idx="2">
                  <c:v>1.79999995231628</c:v>
                </c:pt>
                <c:pt idx="3">
                  <c:v>2.7999999523162802</c:v>
                </c:pt>
                <c:pt idx="4">
                  <c:v>3.7999999523162802</c:v>
                </c:pt>
                <c:pt idx="5">
                  <c:v>4.8000001907348597</c:v>
                </c:pt>
                <c:pt idx="6">
                  <c:v>5.8000001907348597</c:v>
                </c:pt>
                <c:pt idx="7">
                  <c:v>6.8000001907348597</c:v>
                </c:pt>
                <c:pt idx="8">
                  <c:v>7.8000001907348597</c:v>
                </c:pt>
                <c:pt idx="9">
                  <c:v>8.8000001907348597</c:v>
                </c:pt>
                <c:pt idx="10">
                  <c:v>9.8000001907348597</c:v>
                </c:pt>
                <c:pt idx="11">
                  <c:v>10.800000190734901</c:v>
                </c:pt>
                <c:pt idx="12">
                  <c:v>11.800000190734901</c:v>
                </c:pt>
                <c:pt idx="13">
                  <c:v>12.800000190734901</c:v>
                </c:pt>
                <c:pt idx="14">
                  <c:v>13.800000190734901</c:v>
                </c:pt>
                <c:pt idx="15">
                  <c:v>14.800000190734901</c:v>
                </c:pt>
                <c:pt idx="16">
                  <c:v>15.800000190734901</c:v>
                </c:pt>
                <c:pt idx="17">
                  <c:v>16.799999237060501</c:v>
                </c:pt>
                <c:pt idx="18">
                  <c:v>17.799999237060501</c:v>
                </c:pt>
                <c:pt idx="19">
                  <c:v>18.799999237060501</c:v>
                </c:pt>
                <c:pt idx="20">
                  <c:v>19.799999237060501</c:v>
                </c:pt>
                <c:pt idx="21">
                  <c:v>20.799999237060501</c:v>
                </c:pt>
                <c:pt idx="22">
                  <c:v>21.799999237060501</c:v>
                </c:pt>
                <c:pt idx="23">
                  <c:v>22.799999237060501</c:v>
                </c:pt>
                <c:pt idx="24">
                  <c:v>23.799999237060501</c:v>
                </c:pt>
                <c:pt idx="25">
                  <c:v>24.799999237060501</c:v>
                </c:pt>
                <c:pt idx="26">
                  <c:v>25.799999237060501</c:v>
                </c:pt>
                <c:pt idx="27">
                  <c:v>26.799999237060501</c:v>
                </c:pt>
                <c:pt idx="28">
                  <c:v>27.799999237060501</c:v>
                </c:pt>
                <c:pt idx="29">
                  <c:v>28.799999237060501</c:v>
                </c:pt>
                <c:pt idx="30">
                  <c:v>29.799999237060501</c:v>
                </c:pt>
                <c:pt idx="31">
                  <c:v>30.649999618530298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69-4D73-88FC-528CB2C62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369680"/>
        <c:axId val="124080000"/>
      </c:scatterChart>
      <c:valAx>
        <c:axId val="16153696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24080000"/>
        <c:crosses val="autoZero"/>
        <c:crossBetween val="midCat"/>
      </c:valAx>
      <c:valAx>
        <c:axId val="124080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6153696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097065360924"/>
          <c:y val="6.4676268700243317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1736198786662856E-2"/>
          <c:y val="5.1295229887308863E-2"/>
          <c:w val="0.88054853106941111"/>
          <c:h val="0.92438193981971162"/>
        </c:manualLayout>
      </c:layout>
      <c:scatterChart>
        <c:scatterStyle val="lineMarker"/>
        <c:varyColors val="0"/>
        <c:ser>
          <c:idx val="1"/>
          <c:order val="0"/>
          <c:tx>
            <c:v>Vp (5 точек)</c:v>
          </c:tx>
          <c:spPr>
            <a:ln>
              <a:noFill/>
            </a:ln>
          </c:spPr>
          <c:xVal>
            <c:numRef>
              <c:f>Skv_E_P!$F$3:$F$33</c:f>
              <c:numCache>
                <c:formatCode>0</c:formatCode>
                <c:ptCount val="31"/>
                <c:pt idx="0">
                  <c:v>689.59476638172293</c:v>
                </c:pt>
                <c:pt idx="1">
                  <c:v>767.38917108036344</c:v>
                </c:pt>
                <c:pt idx="2">
                  <c:v>985.17111950278627</c:v>
                </c:pt>
                <c:pt idx="3">
                  <c:v>1280.8890730121309</c:v>
                </c:pt>
                <c:pt idx="4">
                  <c:v>1558.2782735856103</c:v>
                </c:pt>
                <c:pt idx="5">
                  <c:v>1769.3461994821891</c:v>
                </c:pt>
                <c:pt idx="6">
                  <c:v>1920.1909061026467</c:v>
                </c:pt>
                <c:pt idx="7">
                  <c:v>2072.2419956403169</c:v>
                </c:pt>
                <c:pt idx="8">
                  <c:v>2166.8511662835317</c:v>
                </c:pt>
                <c:pt idx="9">
                  <c:v>2176.4917886781823</c:v>
                </c:pt>
                <c:pt idx="10">
                  <c:v>2243.0248535656442</c:v>
                </c:pt>
                <c:pt idx="11">
                  <c:v>2390.0262683733595</c:v>
                </c:pt>
                <c:pt idx="12">
                  <c:v>2664.1328463989571</c:v>
                </c:pt>
                <c:pt idx="13">
                  <c:v>2955.1991359689005</c:v>
                </c:pt>
                <c:pt idx="14">
                  <c:v>3048.3256908620938</c:v>
                </c:pt>
                <c:pt idx="15">
                  <c:v>3031.6351225417307</c:v>
                </c:pt>
                <c:pt idx="16">
                  <c:v>2964.8981249462681</c:v>
                </c:pt>
                <c:pt idx="17">
                  <c:v>2899.372756379239</c:v>
                </c:pt>
                <c:pt idx="18">
                  <c:v>2618.0694585612268</c:v>
                </c:pt>
                <c:pt idx="19">
                  <c:v>2770.5989547242357</c:v>
                </c:pt>
                <c:pt idx="20">
                  <c:v>2877.6606318792019</c:v>
                </c:pt>
                <c:pt idx="21">
                  <c:v>3036.7442173224258</c:v>
                </c:pt>
                <c:pt idx="22">
                  <c:v>3489.1198516419249</c:v>
                </c:pt>
                <c:pt idx="23">
                  <c:v>3675.4556249513971</c:v>
                </c:pt>
                <c:pt idx="24">
                  <c:v>4044.234695838883</c:v>
                </c:pt>
                <c:pt idx="25">
                  <c:v>4065.4687882191542</c:v>
                </c:pt>
                <c:pt idx="26">
                  <c:v>4140.1418186771889</c:v>
                </c:pt>
                <c:pt idx="27">
                  <c:v>3800.9182807053426</c:v>
                </c:pt>
                <c:pt idx="28">
                  <c:v>3756.8856536207886</c:v>
                </c:pt>
                <c:pt idx="29">
                  <c:v>3472.3165885615399</c:v>
                </c:pt>
                <c:pt idx="30">
                  <c:v>3032.2005062656581</c:v>
                </c:pt>
              </c:numCache>
            </c:numRef>
          </c:xVal>
          <c:yVal>
            <c:numRef>
              <c:f>Skv_E_P!$B$3:$B$33</c:f>
              <c:numCache>
                <c:formatCode>General</c:formatCode>
                <c:ptCount val="31"/>
                <c:pt idx="0">
                  <c:v>0.80000001192092896</c:v>
                </c:pt>
                <c:pt idx="1">
                  <c:v>1.79999995231628</c:v>
                </c:pt>
                <c:pt idx="2">
                  <c:v>2.7999999523162802</c:v>
                </c:pt>
                <c:pt idx="3">
                  <c:v>3.7999999523162802</c:v>
                </c:pt>
                <c:pt idx="4">
                  <c:v>4.8000001907348597</c:v>
                </c:pt>
                <c:pt idx="5">
                  <c:v>5.8000001907348597</c:v>
                </c:pt>
                <c:pt idx="6">
                  <c:v>6.8000001907348597</c:v>
                </c:pt>
                <c:pt idx="7">
                  <c:v>7.8000001907348597</c:v>
                </c:pt>
                <c:pt idx="8">
                  <c:v>8.8000001907348597</c:v>
                </c:pt>
                <c:pt idx="9">
                  <c:v>9.8000001907348597</c:v>
                </c:pt>
                <c:pt idx="10">
                  <c:v>10.800000190734901</c:v>
                </c:pt>
                <c:pt idx="11">
                  <c:v>11.800000190734901</c:v>
                </c:pt>
                <c:pt idx="12">
                  <c:v>12.800000190734901</c:v>
                </c:pt>
                <c:pt idx="13">
                  <c:v>13.800000190734901</c:v>
                </c:pt>
                <c:pt idx="14">
                  <c:v>14.800000190734901</c:v>
                </c:pt>
                <c:pt idx="15">
                  <c:v>15.800000190734901</c:v>
                </c:pt>
                <c:pt idx="16">
                  <c:v>16.799999237060501</c:v>
                </c:pt>
                <c:pt idx="17">
                  <c:v>17.799999237060501</c:v>
                </c:pt>
                <c:pt idx="18">
                  <c:v>18.799999237060501</c:v>
                </c:pt>
                <c:pt idx="19">
                  <c:v>19.799999237060501</c:v>
                </c:pt>
                <c:pt idx="20">
                  <c:v>20.799999237060501</c:v>
                </c:pt>
                <c:pt idx="21">
                  <c:v>21.799999237060501</c:v>
                </c:pt>
                <c:pt idx="22">
                  <c:v>22.799999237060501</c:v>
                </c:pt>
                <c:pt idx="23">
                  <c:v>23.799999237060501</c:v>
                </c:pt>
                <c:pt idx="24">
                  <c:v>24.799999237060501</c:v>
                </c:pt>
                <c:pt idx="25">
                  <c:v>25.799999237060501</c:v>
                </c:pt>
                <c:pt idx="26">
                  <c:v>26.799999237060501</c:v>
                </c:pt>
                <c:pt idx="27">
                  <c:v>27.799999237060501</c:v>
                </c:pt>
                <c:pt idx="28">
                  <c:v>28.799999237060501</c:v>
                </c:pt>
                <c:pt idx="29">
                  <c:v>29.799999237060501</c:v>
                </c:pt>
                <c:pt idx="30">
                  <c:v>30.649999618530298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AA-4B22-A8D6-8A165E25FA02}"/>
            </c:ext>
          </c:extLst>
        </c:ser>
        <c:ser>
          <c:idx val="0"/>
          <c:order val="1"/>
          <c:tx>
            <c:v>Vp (7 точек)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Skv_E_P!$G$4:$G$32</c:f>
              <c:numCache>
                <c:formatCode>0</c:formatCode>
                <c:ptCount val="29"/>
                <c:pt idx="0">
                  <c:v>847.485815920037</c:v>
                </c:pt>
                <c:pt idx="1">
                  <c:v>928.19016959299108</c:v>
                </c:pt>
                <c:pt idx="2">
                  <c:v>1173.023159754955</c:v>
                </c:pt>
                <c:pt idx="3">
                  <c:v>1459.0685620797788</c:v>
                </c:pt>
                <c:pt idx="4">
                  <c:v>1705.6069004120368</c:v>
                </c:pt>
                <c:pt idx="5">
                  <c:v>1905.5886955406447</c:v>
                </c:pt>
                <c:pt idx="6">
                  <c:v>2033.4342472903618</c:v>
                </c:pt>
                <c:pt idx="7">
                  <c:v>2104.5476986750878</c:v>
                </c:pt>
                <c:pt idx="8">
                  <c:v>2199.7408518123443</c:v>
                </c:pt>
                <c:pt idx="9">
                  <c:v>2319.4198586568559</c:v>
                </c:pt>
                <c:pt idx="10">
                  <c:v>2438.6101303129903</c:v>
                </c:pt>
                <c:pt idx="11">
                  <c:v>2596.5330723448628</c:v>
                </c:pt>
                <c:pt idx="12">
                  <c:v>2839.9665468591115</c:v>
                </c:pt>
                <c:pt idx="13">
                  <c:v>2998.9552954255887</c:v>
                </c:pt>
                <c:pt idx="14">
                  <c:v>2977.1620967132799</c:v>
                </c:pt>
                <c:pt idx="15">
                  <c:v>2963.269904340902</c:v>
                </c:pt>
                <c:pt idx="16">
                  <c:v>2796.0091559606185</c:v>
                </c:pt>
                <c:pt idx="17">
                  <c:v>2812.5419060295271</c:v>
                </c:pt>
                <c:pt idx="18">
                  <c:v>2827.0110181620021</c:v>
                </c:pt>
                <c:pt idx="19">
                  <c:v>2925.8439016620887</c:v>
                </c:pt>
                <c:pt idx="20">
                  <c:v>3096.7921360671016</c:v>
                </c:pt>
                <c:pt idx="21">
                  <c:v>3418.5518217286944</c:v>
                </c:pt>
                <c:pt idx="22">
                  <c:v>3770.2489458256659</c:v>
                </c:pt>
                <c:pt idx="23">
                  <c:v>3776.1132507336233</c:v>
                </c:pt>
                <c:pt idx="24">
                  <c:v>4138.284959903991</c:v>
                </c:pt>
                <c:pt idx="25">
                  <c:v>4082.2725044258823</c:v>
                </c:pt>
                <c:pt idx="26">
                  <c:v>3839.4561380347609</c:v>
                </c:pt>
                <c:pt idx="27">
                  <c:v>3656.423914255995</c:v>
                </c:pt>
                <c:pt idx="28">
                  <c:v>3756.8856536207886</c:v>
                </c:pt>
              </c:numCache>
            </c:numRef>
          </c:xVal>
          <c:yVal>
            <c:numRef>
              <c:f>Skv_E_P!$B$4:$B$32</c:f>
              <c:numCache>
                <c:formatCode>General</c:formatCode>
                <c:ptCount val="29"/>
                <c:pt idx="0">
                  <c:v>1.79999995231628</c:v>
                </c:pt>
                <c:pt idx="1">
                  <c:v>2.7999999523162802</c:v>
                </c:pt>
                <c:pt idx="2">
                  <c:v>3.7999999523162802</c:v>
                </c:pt>
                <c:pt idx="3">
                  <c:v>4.8000001907348597</c:v>
                </c:pt>
                <c:pt idx="4">
                  <c:v>5.8000001907348597</c:v>
                </c:pt>
                <c:pt idx="5">
                  <c:v>6.8000001907348597</c:v>
                </c:pt>
                <c:pt idx="6">
                  <c:v>7.8000001907348597</c:v>
                </c:pt>
                <c:pt idx="7">
                  <c:v>8.8000001907348597</c:v>
                </c:pt>
                <c:pt idx="8">
                  <c:v>9.8000001907348597</c:v>
                </c:pt>
                <c:pt idx="9">
                  <c:v>10.800000190734901</c:v>
                </c:pt>
                <c:pt idx="10">
                  <c:v>11.800000190734901</c:v>
                </c:pt>
                <c:pt idx="11">
                  <c:v>12.800000190734901</c:v>
                </c:pt>
                <c:pt idx="12">
                  <c:v>13.800000190734901</c:v>
                </c:pt>
                <c:pt idx="13">
                  <c:v>14.800000190734901</c:v>
                </c:pt>
                <c:pt idx="14">
                  <c:v>15.800000190734901</c:v>
                </c:pt>
                <c:pt idx="15">
                  <c:v>16.799999237060501</c:v>
                </c:pt>
                <c:pt idx="16">
                  <c:v>17.799999237060501</c:v>
                </c:pt>
                <c:pt idx="17">
                  <c:v>18.799999237060501</c:v>
                </c:pt>
                <c:pt idx="18">
                  <c:v>19.799999237060501</c:v>
                </c:pt>
                <c:pt idx="19">
                  <c:v>20.799999237060501</c:v>
                </c:pt>
                <c:pt idx="20">
                  <c:v>21.799999237060501</c:v>
                </c:pt>
                <c:pt idx="21">
                  <c:v>22.799999237060501</c:v>
                </c:pt>
                <c:pt idx="22">
                  <c:v>23.799999237060501</c:v>
                </c:pt>
                <c:pt idx="23">
                  <c:v>24.799999237060501</c:v>
                </c:pt>
                <c:pt idx="24">
                  <c:v>25.799999237060501</c:v>
                </c:pt>
                <c:pt idx="25">
                  <c:v>26.799999237060501</c:v>
                </c:pt>
                <c:pt idx="26">
                  <c:v>27.799999237060501</c:v>
                </c:pt>
                <c:pt idx="27">
                  <c:v>28.799999237060501</c:v>
                </c:pt>
                <c:pt idx="28">
                  <c:v>29.799999237060501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CAA-4B22-A8D6-8A165E25F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397637"/>
        <c:axId val="1449208795"/>
      </c:scatterChart>
      <c:valAx>
        <c:axId val="3773976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49208795"/>
        <c:crosses val="autoZero"/>
        <c:crossBetween val="midCat"/>
      </c:valAx>
      <c:valAx>
        <c:axId val="1449208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7739763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2318830461990715"/>
          <c:y val="6.2465102309972445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1736198786662856E-2"/>
          <c:y val="5.1295229887308863E-2"/>
          <c:w val="0.88054853106941111"/>
          <c:h val="0.92438193981971162"/>
        </c:manualLayout>
      </c:layout>
      <c:scatterChart>
        <c:scatterStyle val="lineMarker"/>
        <c:varyColors val="0"/>
        <c:ser>
          <c:idx val="0"/>
          <c:order val="0"/>
          <c:tx>
            <c:v>T_pick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Skv_E_S!$C$2:$C$33</c:f>
              <c:numCache>
                <c:formatCode>General</c:formatCode>
                <c:ptCount val="32"/>
                <c:pt idx="0">
                  <c:v>27.016263961791999</c:v>
                </c:pt>
                <c:pt idx="1">
                  <c:v>24.451807022094702</c:v>
                </c:pt>
                <c:pt idx="2">
                  <c:v>19.084337234497099</c:v>
                </c:pt>
                <c:pt idx="3">
                  <c:v>16.7584323883057</c:v>
                </c:pt>
                <c:pt idx="4">
                  <c:v>17.474096298217798</c:v>
                </c:pt>
                <c:pt idx="5">
                  <c:v>16.7584323883057</c:v>
                </c:pt>
                <c:pt idx="6">
                  <c:v>17.3548183441162</c:v>
                </c:pt>
                <c:pt idx="7">
                  <c:v>18.6072292327881</c:v>
                </c:pt>
                <c:pt idx="8">
                  <c:v>18.7861442565918</c:v>
                </c:pt>
                <c:pt idx="9">
                  <c:v>19.143976211547901</c:v>
                </c:pt>
                <c:pt idx="10">
                  <c:v>19.382530212402301</c:v>
                </c:pt>
                <c:pt idx="11">
                  <c:v>19.680723190307599</c:v>
                </c:pt>
                <c:pt idx="12">
                  <c:v>20.217470169067401</c:v>
                </c:pt>
                <c:pt idx="13">
                  <c:v>20.6349391937256</c:v>
                </c:pt>
                <c:pt idx="14">
                  <c:v>20.933132171630898</c:v>
                </c:pt>
                <c:pt idx="15">
                  <c:v>21.231325149536101</c:v>
                </c:pt>
                <c:pt idx="16">
                  <c:v>21.6487941741943</c:v>
                </c:pt>
                <c:pt idx="17">
                  <c:v>22.3048191070557</c:v>
                </c:pt>
                <c:pt idx="18">
                  <c:v>22.781927108764599</c:v>
                </c:pt>
                <c:pt idx="19">
                  <c:v>23.557228088378899</c:v>
                </c:pt>
                <c:pt idx="20">
                  <c:v>24.153614044189499</c:v>
                </c:pt>
                <c:pt idx="21">
                  <c:v>24.75</c:v>
                </c:pt>
                <c:pt idx="22">
                  <c:v>25.3463840484619</c:v>
                </c:pt>
                <c:pt idx="23">
                  <c:v>26.0024089813232</c:v>
                </c:pt>
                <c:pt idx="24">
                  <c:v>27.075902938842798</c:v>
                </c:pt>
                <c:pt idx="25">
                  <c:v>27.910842895507798</c:v>
                </c:pt>
                <c:pt idx="26">
                  <c:v>28.328311920166001</c:v>
                </c:pt>
                <c:pt idx="27">
                  <c:v>28.984336853027301</c:v>
                </c:pt>
                <c:pt idx="28">
                  <c:v>29.759637832641602</c:v>
                </c:pt>
                <c:pt idx="29">
                  <c:v>30.833131790161101</c:v>
                </c:pt>
                <c:pt idx="30">
                  <c:v>31.608432769775401</c:v>
                </c:pt>
                <c:pt idx="31">
                  <c:v>32.443370819091797</c:v>
                </c:pt>
              </c:numCache>
            </c:numRef>
          </c:xVal>
          <c:yVal>
            <c:numRef>
              <c:f>Skv_E_S!$B$2:$B$33</c:f>
              <c:numCache>
                <c:formatCode>General</c:formatCode>
                <c:ptCount val="32"/>
                <c:pt idx="0">
                  <c:v>-0.2</c:v>
                </c:pt>
                <c:pt idx="1">
                  <c:v>0.8</c:v>
                </c:pt>
                <c:pt idx="2">
                  <c:v>1.8</c:v>
                </c:pt>
                <c:pt idx="3">
                  <c:v>2.8</c:v>
                </c:pt>
                <c:pt idx="4">
                  <c:v>3.8</c:v>
                </c:pt>
                <c:pt idx="5">
                  <c:v>4.8</c:v>
                </c:pt>
                <c:pt idx="6">
                  <c:v>5.8</c:v>
                </c:pt>
                <c:pt idx="7">
                  <c:v>6.8</c:v>
                </c:pt>
                <c:pt idx="8">
                  <c:v>7.8</c:v>
                </c:pt>
                <c:pt idx="9">
                  <c:v>8.8000000000000007</c:v>
                </c:pt>
                <c:pt idx="10">
                  <c:v>9.8000000000000007</c:v>
                </c:pt>
                <c:pt idx="11">
                  <c:v>10.8</c:v>
                </c:pt>
                <c:pt idx="12">
                  <c:v>11.8</c:v>
                </c:pt>
                <c:pt idx="13">
                  <c:v>12.8</c:v>
                </c:pt>
                <c:pt idx="14">
                  <c:v>13.8</c:v>
                </c:pt>
                <c:pt idx="15">
                  <c:v>14.8</c:v>
                </c:pt>
                <c:pt idx="16">
                  <c:v>15.8</c:v>
                </c:pt>
                <c:pt idx="17">
                  <c:v>16.8</c:v>
                </c:pt>
                <c:pt idx="18">
                  <c:v>17.8</c:v>
                </c:pt>
                <c:pt idx="19">
                  <c:v>18.8</c:v>
                </c:pt>
                <c:pt idx="20">
                  <c:v>19.8</c:v>
                </c:pt>
                <c:pt idx="21">
                  <c:v>20.8</c:v>
                </c:pt>
                <c:pt idx="22">
                  <c:v>21.8</c:v>
                </c:pt>
                <c:pt idx="23">
                  <c:v>22.8</c:v>
                </c:pt>
                <c:pt idx="24">
                  <c:v>23.8</c:v>
                </c:pt>
                <c:pt idx="25">
                  <c:v>24.8</c:v>
                </c:pt>
                <c:pt idx="26">
                  <c:v>25.8</c:v>
                </c:pt>
                <c:pt idx="27">
                  <c:v>26.8</c:v>
                </c:pt>
                <c:pt idx="28">
                  <c:v>27.8</c:v>
                </c:pt>
                <c:pt idx="29">
                  <c:v>28.8</c:v>
                </c:pt>
                <c:pt idx="30">
                  <c:v>29.8</c:v>
                </c:pt>
                <c:pt idx="31">
                  <c:v>30.8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51-46F4-B91E-B61CEA7C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369680"/>
        <c:axId val="124080000"/>
      </c:scatterChart>
      <c:valAx>
        <c:axId val="16153696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24080000"/>
        <c:crosses val="autoZero"/>
        <c:crossBetween val="midCat"/>
      </c:valAx>
      <c:valAx>
        <c:axId val="124080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6153696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097065360924"/>
          <c:y val="6.4676268700243317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1736198786662856E-2"/>
          <c:y val="5.1295229887308863E-2"/>
          <c:w val="0.88054853106941111"/>
          <c:h val="0.92438193981971162"/>
        </c:manualLayout>
      </c:layout>
      <c:scatterChart>
        <c:scatterStyle val="lineMarker"/>
        <c:varyColors val="0"/>
        <c:ser>
          <c:idx val="1"/>
          <c:order val="0"/>
          <c:tx>
            <c:v>Vs (5 точек)</c:v>
          </c:tx>
          <c:spPr>
            <a:ln>
              <a:noFill/>
            </a:ln>
          </c:spPr>
          <c:xVal>
            <c:numRef>
              <c:f>Skv_E_S!$F$3:$F$33</c:f>
              <c:numCache>
                <c:formatCode>0</c:formatCode>
                <c:ptCount val="31"/>
                <c:pt idx="0">
                  <c:v>310.75569847025605</c:v>
                </c:pt>
                <c:pt idx="1">
                  <c:v>346.18838411097329</c:v>
                </c:pt>
                <c:pt idx="2">
                  <c:v>501.97615070721702</c:v>
                </c:pt>
                <c:pt idx="3">
                  <c:v>587.06368385456085</c:v>
                </c:pt>
                <c:pt idx="4">
                  <c:v>609.79429075085557</c:v>
                </c:pt>
                <c:pt idx="5">
                  <c:v>711.64146348061684</c:v>
                </c:pt>
                <c:pt idx="6">
                  <c:v>760.32178578341689</c:v>
                </c:pt>
                <c:pt idx="7">
                  <c:v>960.04468288970111</c:v>
                </c:pt>
                <c:pt idx="8">
                  <c:v>1382.2275764775079</c:v>
                </c:pt>
                <c:pt idx="9">
                  <c:v>1462.5857055471033</c:v>
                </c:pt>
                <c:pt idx="10">
                  <c:v>1535.8127051615618</c:v>
                </c:pt>
                <c:pt idx="11">
                  <c:v>1605.0362724290951</c:v>
                </c:pt>
                <c:pt idx="12">
                  <c:v>1767.2709959320578</c:v>
                </c:pt>
                <c:pt idx="13">
                  <c:v>2016.2620615036699</c:v>
                </c:pt>
                <c:pt idx="14">
                  <c:v>1872.1124903223867</c:v>
                </c:pt>
                <c:pt idx="15">
                  <c:v>1720.2932048482896</c:v>
                </c:pt>
                <c:pt idx="16">
                  <c:v>1507.7195306293897</c:v>
                </c:pt>
                <c:pt idx="17">
                  <c:v>1436.1031621877316</c:v>
                </c:pt>
                <c:pt idx="18">
                  <c:v>1453.8497944369369</c:v>
                </c:pt>
                <c:pt idx="19">
                  <c:v>1456.9961782128048</c:v>
                </c:pt>
                <c:pt idx="20">
                  <c:v>1525.8464169770866</c:v>
                </c:pt>
                <c:pt idx="21">
                  <c:v>1315.0782658923617</c:v>
                </c:pt>
                <c:pt idx="22">
                  <c:v>1180.2959956329744</c:v>
                </c:pt>
                <c:pt idx="23">
                  <c:v>1204.1756695964175</c:v>
                </c:pt>
                <c:pt idx="24">
                  <c:v>1300.2539517051564</c:v>
                </c:pt>
                <c:pt idx="25">
                  <c:v>1476.7732407331407</c:v>
                </c:pt>
                <c:pt idx="26">
                  <c:v>1298.3794317392505</c:v>
                </c:pt>
                <c:pt idx="27">
                  <c:v>1154.5996910361462</c:v>
                </c:pt>
                <c:pt idx="28">
                  <c:v>1114.962072217591</c:v>
                </c:pt>
                <c:pt idx="29">
                  <c:v>1105.8810281954115</c:v>
                </c:pt>
                <c:pt idx="30">
                  <c:v>1214.9940538309502</c:v>
                </c:pt>
              </c:numCache>
            </c:numRef>
          </c:xVal>
          <c:yVal>
            <c:numRef>
              <c:f>Skv_E_S!$B$3:$B$33</c:f>
              <c:numCache>
                <c:formatCode>General</c:formatCode>
                <c:ptCount val="31"/>
                <c:pt idx="0">
                  <c:v>0.8</c:v>
                </c:pt>
                <c:pt idx="1">
                  <c:v>1.8</c:v>
                </c:pt>
                <c:pt idx="2">
                  <c:v>2.8</c:v>
                </c:pt>
                <c:pt idx="3">
                  <c:v>3.8</c:v>
                </c:pt>
                <c:pt idx="4">
                  <c:v>4.8</c:v>
                </c:pt>
                <c:pt idx="5">
                  <c:v>5.8</c:v>
                </c:pt>
                <c:pt idx="6">
                  <c:v>6.8</c:v>
                </c:pt>
                <c:pt idx="7">
                  <c:v>7.8</c:v>
                </c:pt>
                <c:pt idx="8">
                  <c:v>8.8000000000000007</c:v>
                </c:pt>
                <c:pt idx="9">
                  <c:v>9.8000000000000007</c:v>
                </c:pt>
                <c:pt idx="10">
                  <c:v>10.8</c:v>
                </c:pt>
                <c:pt idx="11">
                  <c:v>11.8</c:v>
                </c:pt>
                <c:pt idx="12">
                  <c:v>12.8</c:v>
                </c:pt>
                <c:pt idx="13">
                  <c:v>13.8</c:v>
                </c:pt>
                <c:pt idx="14">
                  <c:v>14.8</c:v>
                </c:pt>
                <c:pt idx="15">
                  <c:v>15.8</c:v>
                </c:pt>
                <c:pt idx="16">
                  <c:v>16.8</c:v>
                </c:pt>
                <c:pt idx="17">
                  <c:v>17.8</c:v>
                </c:pt>
                <c:pt idx="18">
                  <c:v>18.8</c:v>
                </c:pt>
                <c:pt idx="19">
                  <c:v>19.8</c:v>
                </c:pt>
                <c:pt idx="20">
                  <c:v>20.8</c:v>
                </c:pt>
                <c:pt idx="21">
                  <c:v>21.8</c:v>
                </c:pt>
                <c:pt idx="22">
                  <c:v>22.8</c:v>
                </c:pt>
                <c:pt idx="23">
                  <c:v>23.8</c:v>
                </c:pt>
                <c:pt idx="24">
                  <c:v>24.8</c:v>
                </c:pt>
                <c:pt idx="25">
                  <c:v>25.8</c:v>
                </c:pt>
                <c:pt idx="26">
                  <c:v>26.8</c:v>
                </c:pt>
                <c:pt idx="27">
                  <c:v>27.8</c:v>
                </c:pt>
                <c:pt idx="28">
                  <c:v>28.8</c:v>
                </c:pt>
                <c:pt idx="29">
                  <c:v>29.8</c:v>
                </c:pt>
                <c:pt idx="30">
                  <c:v>30.8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AA-4DB8-BCC3-F1215C930223}"/>
            </c:ext>
          </c:extLst>
        </c:ser>
        <c:ser>
          <c:idx val="0"/>
          <c:order val="1"/>
          <c:tx>
            <c:v>Vs (7 точек)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Skv_E_S!$G$4:$G$32</c:f>
              <c:numCache>
                <c:formatCode>0</c:formatCode>
                <c:ptCount val="29"/>
                <c:pt idx="0">
                  <c:v>388.15803809909107</c:v>
                </c:pt>
                <c:pt idx="1">
                  <c:v>424.91608615911809</c:v>
                </c:pt>
                <c:pt idx="2">
                  <c:v>551.49970933427142</c:v>
                </c:pt>
                <c:pt idx="3">
                  <c:v>625.59967358853453</c:v>
                </c:pt>
                <c:pt idx="4">
                  <c:v>698.42204805917515</c:v>
                </c:pt>
                <c:pt idx="5">
                  <c:v>830.02249779498857</c:v>
                </c:pt>
                <c:pt idx="6">
                  <c:v>928.32186443694445</c:v>
                </c:pt>
                <c:pt idx="7">
                  <c:v>1137.8552084047219</c:v>
                </c:pt>
                <c:pt idx="8">
                  <c:v>1430.9260769347677</c:v>
                </c:pt>
                <c:pt idx="9">
                  <c:v>1540.6665129971595</c:v>
                </c:pt>
                <c:pt idx="10">
                  <c:v>1675.4048013671052</c:v>
                </c:pt>
                <c:pt idx="11">
                  <c:v>1768.0667830721213</c:v>
                </c:pt>
                <c:pt idx="12">
                  <c:v>1793.1324607746574</c:v>
                </c:pt>
                <c:pt idx="13">
                  <c:v>1828.5731254454201</c:v>
                </c:pt>
                <c:pt idx="14">
                  <c:v>1687.229008630424</c:v>
                </c:pt>
                <c:pt idx="15">
                  <c:v>1561.1798960853248</c:v>
                </c:pt>
                <c:pt idx="16">
                  <c:v>1486.6098414033745</c:v>
                </c:pt>
                <c:pt idx="17">
                  <c:v>1467.7181034320924</c:v>
                </c:pt>
                <c:pt idx="18">
                  <c:v>1479.2815921700308</c:v>
                </c:pt>
                <c:pt idx="19">
                  <c:v>1373.407417204272</c:v>
                </c:pt>
                <c:pt idx="20">
                  <c:v>1302.1866053646522</c:v>
                </c:pt>
                <c:pt idx="21">
                  <c:v>1287.2329295071097</c:v>
                </c:pt>
                <c:pt idx="22">
                  <c:v>1292.6280889946313</c:v>
                </c:pt>
                <c:pt idx="23">
                  <c:v>1304.188798352696</c:v>
                </c:pt>
                <c:pt idx="24">
                  <c:v>1277.8266665730566</c:v>
                </c:pt>
                <c:pt idx="25">
                  <c:v>1285.4392692711424</c:v>
                </c:pt>
                <c:pt idx="26">
                  <c:v>1226.222784553526</c:v>
                </c:pt>
                <c:pt idx="27">
                  <c:v>1155.1904333602001</c:v>
                </c:pt>
                <c:pt idx="28">
                  <c:v>1114.962072217591</c:v>
                </c:pt>
              </c:numCache>
            </c:numRef>
          </c:xVal>
          <c:yVal>
            <c:numRef>
              <c:f>Skv_E_S!$B$4:$B$32</c:f>
              <c:numCache>
                <c:formatCode>General</c:formatCode>
                <c:ptCount val="29"/>
                <c:pt idx="0">
                  <c:v>1.8</c:v>
                </c:pt>
                <c:pt idx="1">
                  <c:v>2.8</c:v>
                </c:pt>
                <c:pt idx="2">
                  <c:v>3.8</c:v>
                </c:pt>
                <c:pt idx="3">
                  <c:v>4.8</c:v>
                </c:pt>
                <c:pt idx="4">
                  <c:v>5.8</c:v>
                </c:pt>
                <c:pt idx="5">
                  <c:v>6.8</c:v>
                </c:pt>
                <c:pt idx="6">
                  <c:v>7.8</c:v>
                </c:pt>
                <c:pt idx="7">
                  <c:v>8.8000000000000007</c:v>
                </c:pt>
                <c:pt idx="8">
                  <c:v>9.8000000000000007</c:v>
                </c:pt>
                <c:pt idx="9">
                  <c:v>10.8</c:v>
                </c:pt>
                <c:pt idx="10">
                  <c:v>11.8</c:v>
                </c:pt>
                <c:pt idx="11">
                  <c:v>12.8</c:v>
                </c:pt>
                <c:pt idx="12">
                  <c:v>13.8</c:v>
                </c:pt>
                <c:pt idx="13">
                  <c:v>14.8</c:v>
                </c:pt>
                <c:pt idx="14">
                  <c:v>15.8</c:v>
                </c:pt>
                <c:pt idx="15">
                  <c:v>16.8</c:v>
                </c:pt>
                <c:pt idx="16">
                  <c:v>17.8</c:v>
                </c:pt>
                <c:pt idx="17">
                  <c:v>18.8</c:v>
                </c:pt>
                <c:pt idx="18">
                  <c:v>19.8</c:v>
                </c:pt>
                <c:pt idx="19">
                  <c:v>20.8</c:v>
                </c:pt>
                <c:pt idx="20">
                  <c:v>21.8</c:v>
                </c:pt>
                <c:pt idx="21">
                  <c:v>22.8</c:v>
                </c:pt>
                <c:pt idx="22">
                  <c:v>23.8</c:v>
                </c:pt>
                <c:pt idx="23">
                  <c:v>24.8</c:v>
                </c:pt>
                <c:pt idx="24">
                  <c:v>25.8</c:v>
                </c:pt>
                <c:pt idx="25">
                  <c:v>26.8</c:v>
                </c:pt>
                <c:pt idx="26">
                  <c:v>27.8</c:v>
                </c:pt>
                <c:pt idx="27">
                  <c:v>28.8</c:v>
                </c:pt>
                <c:pt idx="28">
                  <c:v>29.8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AA-4DB8-BCC3-F1215C930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397637"/>
        <c:axId val="1449208795"/>
      </c:scatterChart>
      <c:valAx>
        <c:axId val="3773976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49208795"/>
        <c:crosses val="autoZero"/>
        <c:crossBetween val="midCat"/>
      </c:valAx>
      <c:valAx>
        <c:axId val="1449208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7739763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2318830461990715"/>
          <c:y val="6.2465102309972445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Вертикальные</a:t>
            </a:r>
            <a:r>
              <a:rPr lang="ru-RU" baseline="0"/>
              <a:t> годографы продольных волн</a:t>
            </a:r>
            <a:endParaRPr lang="ru-RU"/>
          </a:p>
        </c:rich>
      </c:tx>
      <c:layout>
        <c:manualLayout>
          <c:xMode val="edge"/>
          <c:yMode val="edge"/>
          <c:x val="0.15112102449533993"/>
          <c:y val="4.909696379736793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6920908798830178"/>
          <c:y val="0.11536691153294122"/>
          <c:w val="0.76266067873486487"/>
          <c:h val="0.86663086840802384"/>
        </c:manualLayout>
      </c:layout>
      <c:scatterChart>
        <c:scatterStyle val="smoothMarker"/>
        <c:varyColors val="0"/>
        <c:ser>
          <c:idx val="0"/>
          <c:order val="0"/>
          <c:tx>
            <c:v>Вертик. Годограф P-волны в скважине 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Лист1!$B$4:$B$29</c:f>
              <c:numCache>
                <c:formatCode>0.00</c:formatCode>
                <c:ptCount val="26"/>
                <c:pt idx="0">
                  <c:v>3.5015153769513816</c:v>
                </c:pt>
                <c:pt idx="1">
                  <c:v>4.9358483078677589</c:v>
                </c:pt>
                <c:pt idx="2">
                  <c:v>6.1534151291921377</c:v>
                </c:pt>
                <c:pt idx="3">
                  <c:v>7.2228403491893838</c:v>
                </c:pt>
                <c:pt idx="4">
                  <c:v>7.972749574984392</c:v>
                </c:pt>
                <c:pt idx="5">
                  <c:v>7.9798090497738192</c:v>
                </c:pt>
                <c:pt idx="6">
                  <c:v>8.3952369029946254</c:v>
                </c:pt>
                <c:pt idx="7">
                  <c:v>8.5985804433828505</c:v>
                </c:pt>
                <c:pt idx="8">
                  <c:v>9.1095970107724025</c:v>
                </c:pt>
                <c:pt idx="9">
                  <c:v>9.7265871063178029</c:v>
                </c:pt>
                <c:pt idx="10">
                  <c:v>10.02386117458494</c:v>
                </c:pt>
                <c:pt idx="11">
                  <c:v>10.315294832911626</c:v>
                </c:pt>
                <c:pt idx="12">
                  <c:v>10.633883324577836</c:v>
                </c:pt>
                <c:pt idx="13">
                  <c:v>10.800862944574687</c:v>
                </c:pt>
                <c:pt idx="14">
                  <c:v>11.259778293845105</c:v>
                </c:pt>
                <c:pt idx="15">
                  <c:v>11.524425360808445</c:v>
                </c:pt>
                <c:pt idx="16">
                  <c:v>11.966862912696222</c:v>
                </c:pt>
                <c:pt idx="17">
                  <c:v>12.30704507659893</c:v>
                </c:pt>
                <c:pt idx="18">
                  <c:v>12.758165812540696</c:v>
                </c:pt>
                <c:pt idx="19">
                  <c:v>13.185113954337238</c:v>
                </c:pt>
                <c:pt idx="20">
                  <c:v>13.371971491871102</c:v>
                </c:pt>
                <c:pt idx="21">
                  <c:v>13.841320515785279</c:v>
                </c:pt>
                <c:pt idx="22">
                  <c:v>14.236510592080707</c:v>
                </c:pt>
                <c:pt idx="23">
                  <c:v>14.557330701292409</c:v>
                </c:pt>
                <c:pt idx="24">
                  <c:v>14.442566562466933</c:v>
                </c:pt>
                <c:pt idx="25">
                  <c:v>14.830617231382405</c:v>
                </c:pt>
              </c:numCache>
            </c:numRef>
          </c:xVal>
          <c:yVal>
            <c:numRef>
              <c:f>Лист1!$A$4:$A$29</c:f>
              <c:numCache>
                <c:formatCode>0.00</c:formatCode>
                <c:ptCount val="26"/>
                <c:pt idx="0">
                  <c:v>2.0999999046325701</c:v>
                </c:pt>
                <c:pt idx="1">
                  <c:v>3.0999999046325701</c:v>
                </c:pt>
                <c:pt idx="2">
                  <c:v>4.0999999046325701</c:v>
                </c:pt>
                <c:pt idx="3">
                  <c:v>5.0999999046325701</c:v>
                </c:pt>
                <c:pt idx="4">
                  <c:v>6.0999999046325701</c:v>
                </c:pt>
                <c:pt idx="5">
                  <c:v>7.0999999046325701</c:v>
                </c:pt>
                <c:pt idx="6">
                  <c:v>8.1000003814697301</c:v>
                </c:pt>
                <c:pt idx="7">
                  <c:v>9.1000003814697301</c:v>
                </c:pt>
                <c:pt idx="8">
                  <c:v>10.1000003814697</c:v>
                </c:pt>
                <c:pt idx="9">
                  <c:v>11.1000003814697</c:v>
                </c:pt>
                <c:pt idx="10">
                  <c:v>12.1000003814697</c:v>
                </c:pt>
                <c:pt idx="11">
                  <c:v>13.1000003814697</c:v>
                </c:pt>
                <c:pt idx="12">
                  <c:v>14.1000003814697</c:v>
                </c:pt>
                <c:pt idx="13">
                  <c:v>15.1000003814697</c:v>
                </c:pt>
                <c:pt idx="14">
                  <c:v>16.100000381469702</c:v>
                </c:pt>
                <c:pt idx="15">
                  <c:v>17.100000381469702</c:v>
                </c:pt>
                <c:pt idx="16">
                  <c:v>18.100000381469702</c:v>
                </c:pt>
                <c:pt idx="17">
                  <c:v>19.100000381469702</c:v>
                </c:pt>
                <c:pt idx="18">
                  <c:v>20.100000381469702</c:v>
                </c:pt>
                <c:pt idx="19">
                  <c:v>21.100000381469702</c:v>
                </c:pt>
                <c:pt idx="20">
                  <c:v>22.100000381469702</c:v>
                </c:pt>
                <c:pt idx="21">
                  <c:v>23.100000381469702</c:v>
                </c:pt>
                <c:pt idx="22">
                  <c:v>24.100000381469702</c:v>
                </c:pt>
                <c:pt idx="23">
                  <c:v>25.100000381469702</c:v>
                </c:pt>
                <c:pt idx="24">
                  <c:v>26.100000381469702</c:v>
                </c:pt>
                <c:pt idx="25">
                  <c:v>27.100000381469702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4B-4E31-9768-A8180E8066D4}"/>
            </c:ext>
          </c:extLst>
        </c:ser>
        <c:ser>
          <c:idx val="1"/>
          <c:order val="1"/>
          <c:tx>
            <c:v>Вертик. Годограф P-волны в скважине 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Лист1!$J$4:$J$34</c:f>
              <c:numCache>
                <c:formatCode>0.00</c:formatCode>
                <c:ptCount val="31"/>
                <c:pt idx="0">
                  <c:v>1.3910779441653234</c:v>
                </c:pt>
                <c:pt idx="1">
                  <c:v>2.8521804413129872</c:v>
                </c:pt>
                <c:pt idx="2">
                  <c:v>3.9264850263038249</c:v>
                </c:pt>
                <c:pt idx="3">
                  <c:v>4.7356902065160345</c:v>
                </c:pt>
                <c:pt idx="4">
                  <c:v>5.3959103281492027</c:v>
                </c:pt>
                <c:pt idx="5">
                  <c:v>5.9543406261047283</c:v>
                </c:pt>
                <c:pt idx="6">
                  <c:v>6.5024738391798067</c:v>
                </c:pt>
                <c:pt idx="7">
                  <c:v>7.0007807305740251</c:v>
                </c:pt>
                <c:pt idx="8">
                  <c:v>7.4731356525006136</c:v>
                </c:pt>
                <c:pt idx="9">
                  <c:v>7.8741211770252182</c:v>
                </c:pt>
                <c:pt idx="10">
                  <c:v>8.3705655240566035</c:v>
                </c:pt>
                <c:pt idx="11">
                  <c:v>8.846978477248447</c:v>
                </c:pt>
                <c:pt idx="12">
                  <c:v>9.210203716956185</c:v>
                </c:pt>
                <c:pt idx="13">
                  <c:v>9.5264815196240722</c:v>
                </c:pt>
                <c:pt idx="14">
                  <c:v>9.8974382873567031</c:v>
                </c:pt>
                <c:pt idx="15">
                  <c:v>10.193372487557466</c:v>
                </c:pt>
                <c:pt idx="16">
                  <c:v>10.515273558930586</c:v>
                </c:pt>
                <c:pt idx="17">
                  <c:v>10.864990880757249</c:v>
                </c:pt>
                <c:pt idx="18">
                  <c:v>11.244029753380902</c:v>
                </c:pt>
                <c:pt idx="19">
                  <c:v>11.551866329917299</c:v>
                </c:pt>
                <c:pt idx="20">
                  <c:v>12.068217051888775</c:v>
                </c:pt>
                <c:pt idx="21">
                  <c:v>12.225948353100801</c:v>
                </c:pt>
                <c:pt idx="22">
                  <c:v>12.612287777343276</c:v>
                </c:pt>
                <c:pt idx="23">
                  <c:v>12.890899516030997</c:v>
                </c:pt>
                <c:pt idx="24">
                  <c:v>13.152257555569596</c:v>
                </c:pt>
                <c:pt idx="25">
                  <c:v>13.274712919556839</c:v>
                </c:pt>
                <c:pt idx="26">
                  <c:v>13.635816837597051</c:v>
                </c:pt>
                <c:pt idx="27">
                  <c:v>13.858337640256675</c:v>
                </c:pt>
                <c:pt idx="28">
                  <c:v>14.045302902181749</c:v>
                </c:pt>
                <c:pt idx="29">
                  <c:v>14.369045919175546</c:v>
                </c:pt>
                <c:pt idx="30">
                  <c:v>14.655671360740254</c:v>
                </c:pt>
              </c:numCache>
            </c:numRef>
          </c:xVal>
          <c:yVal>
            <c:numRef>
              <c:f>Лист1!$I$4:$I$34</c:f>
              <c:numCache>
                <c:formatCode>0.00</c:formatCode>
                <c:ptCount val="31"/>
                <c:pt idx="0">
                  <c:v>0.80000001192092896</c:v>
                </c:pt>
                <c:pt idx="1">
                  <c:v>1.79999995231628</c:v>
                </c:pt>
                <c:pt idx="2">
                  <c:v>2.7999999523162802</c:v>
                </c:pt>
                <c:pt idx="3">
                  <c:v>3.7999999523162802</c:v>
                </c:pt>
                <c:pt idx="4">
                  <c:v>4.8000001907348597</c:v>
                </c:pt>
                <c:pt idx="5">
                  <c:v>5.8000001907348597</c:v>
                </c:pt>
                <c:pt idx="6">
                  <c:v>6.8000001907348597</c:v>
                </c:pt>
                <c:pt idx="7">
                  <c:v>7.8000001907348597</c:v>
                </c:pt>
                <c:pt idx="8">
                  <c:v>8.8000001907348597</c:v>
                </c:pt>
                <c:pt idx="9">
                  <c:v>9.8000001907348597</c:v>
                </c:pt>
                <c:pt idx="10">
                  <c:v>10.800000190734901</c:v>
                </c:pt>
                <c:pt idx="11">
                  <c:v>11.800000190734901</c:v>
                </c:pt>
                <c:pt idx="12">
                  <c:v>12.800000190734901</c:v>
                </c:pt>
                <c:pt idx="13">
                  <c:v>13.800000190734901</c:v>
                </c:pt>
                <c:pt idx="14">
                  <c:v>14.800000190734901</c:v>
                </c:pt>
                <c:pt idx="15">
                  <c:v>15.800000190734901</c:v>
                </c:pt>
                <c:pt idx="16">
                  <c:v>16.799999237060501</c:v>
                </c:pt>
                <c:pt idx="17">
                  <c:v>17.799999237060501</c:v>
                </c:pt>
                <c:pt idx="18">
                  <c:v>18.799999237060501</c:v>
                </c:pt>
                <c:pt idx="19">
                  <c:v>19.799999237060501</c:v>
                </c:pt>
                <c:pt idx="20">
                  <c:v>20.799999237060501</c:v>
                </c:pt>
                <c:pt idx="21">
                  <c:v>21.799999237060501</c:v>
                </c:pt>
                <c:pt idx="22">
                  <c:v>22.799999237060501</c:v>
                </c:pt>
                <c:pt idx="23">
                  <c:v>23.799999237060501</c:v>
                </c:pt>
                <c:pt idx="24">
                  <c:v>24.799999237060501</c:v>
                </c:pt>
                <c:pt idx="25">
                  <c:v>25.799999237060501</c:v>
                </c:pt>
                <c:pt idx="26">
                  <c:v>26.799999237060501</c:v>
                </c:pt>
                <c:pt idx="27">
                  <c:v>27.799999237060501</c:v>
                </c:pt>
                <c:pt idx="28">
                  <c:v>28.799999237060501</c:v>
                </c:pt>
                <c:pt idx="29">
                  <c:v>29.799999237060501</c:v>
                </c:pt>
                <c:pt idx="30">
                  <c:v>30.649999618530298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4B-4E31-9768-A8180E806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2416"/>
        <c:axId val="3029056"/>
      </c:scatterChart>
      <c:valAx>
        <c:axId val="30124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мс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29056"/>
        <c:crosses val="autoZero"/>
        <c:crossBetween val="midCat"/>
      </c:valAx>
      <c:valAx>
        <c:axId val="302905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Глубина, 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1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459823603179707"/>
          <c:y val="0.12898197638861286"/>
          <c:w val="0.32247994160670246"/>
          <c:h val="9.0830156205662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Вертикальные</a:t>
            </a:r>
            <a:r>
              <a:rPr lang="ru-RU" baseline="0"/>
              <a:t> годографы поперечных волн</a:t>
            </a:r>
            <a:endParaRPr lang="ru-RU"/>
          </a:p>
        </c:rich>
      </c:tx>
      <c:layout>
        <c:manualLayout>
          <c:xMode val="edge"/>
          <c:yMode val="edge"/>
          <c:x val="0.15112102449533993"/>
          <c:y val="4.909696379736793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6920908798830178"/>
          <c:y val="0.11536691153294122"/>
          <c:w val="0.76266067873486487"/>
          <c:h val="0.86663086840802384"/>
        </c:manualLayout>
      </c:layout>
      <c:scatterChart>
        <c:scatterStyle val="smoothMarker"/>
        <c:varyColors val="0"/>
        <c:ser>
          <c:idx val="0"/>
          <c:order val="0"/>
          <c:tx>
            <c:v>Вертик. Годограф S-волны в скважине 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Лист1!$F$4:$F$29</c:f>
              <c:numCache>
                <c:formatCode>0.00</c:formatCode>
                <c:ptCount val="26"/>
                <c:pt idx="0">
                  <c:v>5.6820273274826203</c:v>
                </c:pt>
                <c:pt idx="1">
                  <c:v>7.9410472299445187</c:v>
                </c:pt>
                <c:pt idx="2">
                  <c:v>9.9297529462219742</c:v>
                </c:pt>
                <c:pt idx="3">
                  <c:v>11.722436523528513</c:v>
                </c:pt>
                <c:pt idx="4">
                  <c:v>13.260429208386537</c:v>
                </c:pt>
                <c:pt idx="5">
                  <c:v>14.588469093478066</c:v>
                </c:pt>
                <c:pt idx="6">
                  <c:v>16.151500162259119</c:v>
                </c:pt>
                <c:pt idx="7">
                  <c:v>17.349044670197991</c:v>
                </c:pt>
                <c:pt idx="8">
                  <c:v>18.570340159750025</c:v>
                </c:pt>
                <c:pt idx="9">
                  <c:v>19.881367696897218</c:v>
                </c:pt>
                <c:pt idx="10">
                  <c:v>21.143314086419892</c:v>
                </c:pt>
                <c:pt idx="11">
                  <c:v>21.91110162152545</c:v>
                </c:pt>
                <c:pt idx="12">
                  <c:v>22.635804481364886</c:v>
                </c:pt>
                <c:pt idx="13">
                  <c:v>23.790673236290935</c:v>
                </c:pt>
                <c:pt idx="14">
                  <c:v>24.45686907138376</c:v>
                </c:pt>
                <c:pt idx="15">
                  <c:v>25.571559938288587</c:v>
                </c:pt>
                <c:pt idx="16">
                  <c:v>26.67269711311776</c:v>
                </c:pt>
                <c:pt idx="17">
                  <c:v>28.462998827607358</c:v>
                </c:pt>
                <c:pt idx="18">
                  <c:v>28.958436185817714</c:v>
                </c:pt>
                <c:pt idx="19">
                  <c:v>29.564689098529374</c:v>
                </c:pt>
                <c:pt idx="20">
                  <c:v>30.285061593106285</c:v>
                </c:pt>
                <c:pt idx="21">
                  <c:v>30.997385372356558</c:v>
                </c:pt>
                <c:pt idx="22">
                  <c:v>31.827875282544117</c:v>
                </c:pt>
                <c:pt idx="23">
                  <c:v>32.715656461476527</c:v>
                </c:pt>
                <c:pt idx="24">
                  <c:v>33.536144464320373</c:v>
                </c:pt>
                <c:pt idx="25">
                  <c:v>34.352483416608962</c:v>
                </c:pt>
              </c:numCache>
            </c:numRef>
          </c:xVal>
          <c:yVal>
            <c:numRef>
              <c:f>Лист1!$E$4:$E$29</c:f>
              <c:numCache>
                <c:formatCode>0.00</c:formatCode>
                <c:ptCount val="26"/>
                <c:pt idx="0">
                  <c:v>2.0999999046325701</c:v>
                </c:pt>
                <c:pt idx="1">
                  <c:v>3.0999999046325701</c:v>
                </c:pt>
                <c:pt idx="2">
                  <c:v>4.0999999046325701</c:v>
                </c:pt>
                <c:pt idx="3">
                  <c:v>5.0999999046325701</c:v>
                </c:pt>
                <c:pt idx="4">
                  <c:v>6.0999999046325701</c:v>
                </c:pt>
                <c:pt idx="5">
                  <c:v>7.0999999046325701</c:v>
                </c:pt>
                <c:pt idx="6">
                  <c:v>8.1000003814697301</c:v>
                </c:pt>
                <c:pt idx="7">
                  <c:v>9.1000003814697301</c:v>
                </c:pt>
                <c:pt idx="8">
                  <c:v>10.1000003814697</c:v>
                </c:pt>
                <c:pt idx="9">
                  <c:v>11.1000003814697</c:v>
                </c:pt>
                <c:pt idx="10">
                  <c:v>12.1000003814697</c:v>
                </c:pt>
                <c:pt idx="11">
                  <c:v>13.1000003814697</c:v>
                </c:pt>
                <c:pt idx="12">
                  <c:v>14.1000003814697</c:v>
                </c:pt>
                <c:pt idx="13">
                  <c:v>15.1000003814697</c:v>
                </c:pt>
                <c:pt idx="14">
                  <c:v>16.100000381469702</c:v>
                </c:pt>
                <c:pt idx="15">
                  <c:v>17.100000381469702</c:v>
                </c:pt>
                <c:pt idx="16">
                  <c:v>18.100000381469702</c:v>
                </c:pt>
                <c:pt idx="17">
                  <c:v>19.100000381469702</c:v>
                </c:pt>
                <c:pt idx="18">
                  <c:v>20.100000381469702</c:v>
                </c:pt>
                <c:pt idx="19">
                  <c:v>21.100000381469702</c:v>
                </c:pt>
                <c:pt idx="20">
                  <c:v>22.100000381469702</c:v>
                </c:pt>
                <c:pt idx="21">
                  <c:v>23.100000381469702</c:v>
                </c:pt>
                <c:pt idx="22">
                  <c:v>24.100000381469702</c:v>
                </c:pt>
                <c:pt idx="23">
                  <c:v>25.100000381469702</c:v>
                </c:pt>
                <c:pt idx="24">
                  <c:v>26.100000381469702</c:v>
                </c:pt>
                <c:pt idx="25">
                  <c:v>27.100000381469702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45-4A60-9FF8-FA57C20C2220}"/>
            </c:ext>
          </c:extLst>
        </c:ser>
        <c:ser>
          <c:idx val="1"/>
          <c:order val="1"/>
          <c:tx>
            <c:v>Вертик. Годограф S-волны в скважине 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Лист1!$N$4:$N$34</c:f>
              <c:numCache>
                <c:formatCode>0.00</c:formatCode>
                <c:ptCount val="31"/>
                <c:pt idx="0">
                  <c:v>3.8631532443844043</c:v>
                </c:pt>
                <c:pt idx="1">
                  <c:v>6.4642365604065422</c:v>
                </c:pt>
                <c:pt idx="2">
                  <c:v>8.1882265229426814</c:v>
                </c:pt>
                <c:pt idx="3">
                  <c:v>10.573283285321674</c:v>
                </c:pt>
                <c:pt idx="4">
                  <c:v>11.605747819467053</c:v>
                </c:pt>
                <c:pt idx="5">
                  <c:v>13.144712295602035</c:v>
                </c:pt>
                <c:pt idx="6">
                  <c:v>14.990933073995709</c:v>
                </c:pt>
                <c:pt idx="7">
                  <c:v>15.815662951190628</c:v>
                </c:pt>
                <c:pt idx="8">
                  <c:v>16.644855651701487</c:v>
                </c:pt>
                <c:pt idx="9">
                  <c:v>17.265218851675787</c:v>
                </c:pt>
                <c:pt idx="10">
                  <c:v>17.859605003390168</c:v>
                </c:pt>
                <c:pt idx="11">
                  <c:v>18.615270445855611</c:v>
                </c:pt>
                <c:pt idx="12">
                  <c:v>19.220565768060759</c:v>
                </c:pt>
                <c:pt idx="13">
                  <c:v>19.681134612489597</c:v>
                </c:pt>
                <c:pt idx="14">
                  <c:v>20.114456796105273</c:v>
                </c:pt>
                <c:pt idx="15">
                  <c:v>20.639962464133767</c:v>
                </c:pt>
                <c:pt idx="16">
                  <c:v>21.37810023241423</c:v>
                </c:pt>
                <c:pt idx="17">
                  <c:v>21.9330495820926</c:v>
                </c:pt>
                <c:pt idx="18">
                  <c:v>22.765831613766835</c:v>
                </c:pt>
                <c:pt idx="19">
                  <c:v>23.418466697502055</c:v>
                </c:pt>
                <c:pt idx="20">
                  <c:v>24.064483776405336</c:v>
                </c:pt>
                <c:pt idx="21">
                  <c:v>24.704911176901504</c:v>
                </c:pt>
                <c:pt idx="22">
                  <c:v>25.398843361227023</c:v>
                </c:pt>
                <c:pt idx="23">
                  <c:v>26.497479146646654</c:v>
                </c:pt>
                <c:pt idx="24">
                  <c:v>27.360313842680952</c:v>
                </c:pt>
                <c:pt idx="25">
                  <c:v>27.810867615640003</c:v>
                </c:pt>
                <c:pt idx="26">
                  <c:v>28.492701290131741</c:v>
                </c:pt>
                <c:pt idx="27">
                  <c:v>29.289673772693153</c:v>
                </c:pt>
                <c:pt idx="28">
                  <c:v>30.378710927183111</c:v>
                </c:pt>
                <c:pt idx="29">
                  <c:v>31.172693170197636</c:v>
                </c:pt>
                <c:pt idx="30">
                  <c:v>32.02414054562432</c:v>
                </c:pt>
              </c:numCache>
            </c:numRef>
          </c:xVal>
          <c:yVal>
            <c:numRef>
              <c:f>Лист1!$M$4:$M$34</c:f>
              <c:numCache>
                <c:formatCode>0.00</c:formatCode>
                <c:ptCount val="31"/>
                <c:pt idx="0">
                  <c:v>0.8</c:v>
                </c:pt>
                <c:pt idx="1">
                  <c:v>1.8</c:v>
                </c:pt>
                <c:pt idx="2">
                  <c:v>2.8</c:v>
                </c:pt>
                <c:pt idx="3">
                  <c:v>3.8</c:v>
                </c:pt>
                <c:pt idx="4">
                  <c:v>4.8</c:v>
                </c:pt>
                <c:pt idx="5">
                  <c:v>5.8</c:v>
                </c:pt>
                <c:pt idx="6">
                  <c:v>6.8</c:v>
                </c:pt>
                <c:pt idx="7">
                  <c:v>7.8</c:v>
                </c:pt>
                <c:pt idx="8">
                  <c:v>8.8000000000000007</c:v>
                </c:pt>
                <c:pt idx="9">
                  <c:v>9.8000000000000007</c:v>
                </c:pt>
                <c:pt idx="10">
                  <c:v>10.8</c:v>
                </c:pt>
                <c:pt idx="11">
                  <c:v>11.8</c:v>
                </c:pt>
                <c:pt idx="12">
                  <c:v>12.8</c:v>
                </c:pt>
                <c:pt idx="13">
                  <c:v>13.8</c:v>
                </c:pt>
                <c:pt idx="14">
                  <c:v>14.8</c:v>
                </c:pt>
                <c:pt idx="15">
                  <c:v>15.8</c:v>
                </c:pt>
                <c:pt idx="16">
                  <c:v>16.8</c:v>
                </c:pt>
                <c:pt idx="17">
                  <c:v>17.8</c:v>
                </c:pt>
                <c:pt idx="18">
                  <c:v>18.8</c:v>
                </c:pt>
                <c:pt idx="19">
                  <c:v>19.8</c:v>
                </c:pt>
                <c:pt idx="20">
                  <c:v>20.8</c:v>
                </c:pt>
                <c:pt idx="21">
                  <c:v>21.8</c:v>
                </c:pt>
                <c:pt idx="22">
                  <c:v>22.8</c:v>
                </c:pt>
                <c:pt idx="23">
                  <c:v>23.8</c:v>
                </c:pt>
                <c:pt idx="24">
                  <c:v>24.8</c:v>
                </c:pt>
                <c:pt idx="25">
                  <c:v>25.8</c:v>
                </c:pt>
                <c:pt idx="26">
                  <c:v>26.8</c:v>
                </c:pt>
                <c:pt idx="27">
                  <c:v>27.8</c:v>
                </c:pt>
                <c:pt idx="28">
                  <c:v>28.8</c:v>
                </c:pt>
                <c:pt idx="29">
                  <c:v>29.8</c:v>
                </c:pt>
                <c:pt idx="30">
                  <c:v>30.8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45-4A60-9FF8-FA57C20C2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2416"/>
        <c:axId val="3029056"/>
      </c:scatterChart>
      <c:valAx>
        <c:axId val="30124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мс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29056"/>
        <c:crosses val="autoZero"/>
        <c:crossBetween val="midCat"/>
      </c:valAx>
      <c:valAx>
        <c:axId val="302905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Глубина, 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1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459823603179707"/>
          <c:y val="0.12898197638861286"/>
          <c:w val="0.32247994160670246"/>
          <c:h val="9.0830156205662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Значения скоростей</a:t>
            </a:r>
            <a:r>
              <a:rPr lang="ru-RU" baseline="0"/>
              <a:t> продольных волн</a:t>
            </a:r>
            <a:endParaRPr lang="ru-RU"/>
          </a:p>
        </c:rich>
      </c:tx>
      <c:layout>
        <c:manualLayout>
          <c:xMode val="edge"/>
          <c:yMode val="edge"/>
          <c:x val="0.15112102449533993"/>
          <c:y val="1.8002220059034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6920908798830178"/>
          <c:y val="0.11536691153294122"/>
          <c:w val="0.76266067873486487"/>
          <c:h val="0.86663086840802384"/>
        </c:manualLayout>
      </c:layout>
      <c:scatterChart>
        <c:scatterStyle val="smoothMarker"/>
        <c:varyColors val="0"/>
        <c:ser>
          <c:idx val="0"/>
          <c:order val="0"/>
          <c:tx>
            <c:v>Скорости P-волн в скважине 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Лист1!$C$4:$C$29</c:f>
              <c:numCache>
                <c:formatCode>0</c:formatCode>
                <c:ptCount val="26"/>
                <c:pt idx="0">
                  <c:v>705.57675410410434</c:v>
                </c:pt>
                <c:pt idx="1">
                  <c:v>749.93364150781679</c:v>
                </c:pt>
                <c:pt idx="2">
                  <c:v>878.92677489567484</c:v>
                </c:pt>
                <c:pt idx="3">
                  <c:v>1158.5367844428124</c:v>
                </c:pt>
                <c:pt idx="4">
                  <c:v>1671.5260067879033</c:v>
                </c:pt>
                <c:pt idx="5">
                  <c:v>2849.3901964160009</c:v>
                </c:pt>
                <c:pt idx="6">
                  <c:v>3208.6411664412549</c:v>
                </c:pt>
                <c:pt idx="7">
                  <c:v>2306.5977991534096</c:v>
                </c:pt>
                <c:pt idx="8">
                  <c:v>2226.8183776724181</c:v>
                </c:pt>
                <c:pt idx="9">
                  <c:v>2240.5670550998311</c:v>
                </c:pt>
                <c:pt idx="10">
                  <c:v>2670.3843522826701</c:v>
                </c:pt>
                <c:pt idx="11">
                  <c:v>3593.6212859988423</c:v>
                </c:pt>
                <c:pt idx="12">
                  <c:v>3324.5395606670595</c:v>
                </c:pt>
                <c:pt idx="13">
                  <c:v>3232.8260678343058</c:v>
                </c:pt>
                <c:pt idx="14">
                  <c:v>2897.529282169407</c:v>
                </c:pt>
                <c:pt idx="15">
                  <c:v>2674.6966602498032</c:v>
                </c:pt>
                <c:pt idx="16">
                  <c:v>2629.0732834526943</c:v>
                </c:pt>
                <c:pt idx="17">
                  <c:v>2427.4867206491513</c:v>
                </c:pt>
                <c:pt idx="18">
                  <c:v>2671.5517328089327</c:v>
                </c:pt>
                <c:pt idx="19">
                  <c:v>2675.8738214053983</c:v>
                </c:pt>
                <c:pt idx="20">
                  <c:v>2731.8194567863575</c:v>
                </c:pt>
                <c:pt idx="21">
                  <c:v>2734.6914096431319</c:v>
                </c:pt>
                <c:pt idx="22">
                  <c:v>3034.4971164895596</c:v>
                </c:pt>
                <c:pt idx="23">
                  <c:v>3978.1111721507277</c:v>
                </c:pt>
                <c:pt idx="24">
                  <c:v>4526.561590635115</c:v>
                </c:pt>
                <c:pt idx="25">
                  <c:v>3438.4363804973318</c:v>
                </c:pt>
              </c:numCache>
            </c:numRef>
          </c:xVal>
          <c:yVal>
            <c:numRef>
              <c:f>Лист1!$A$4:$A$29</c:f>
              <c:numCache>
                <c:formatCode>0.00</c:formatCode>
                <c:ptCount val="26"/>
                <c:pt idx="0">
                  <c:v>2.0999999046325701</c:v>
                </c:pt>
                <c:pt idx="1">
                  <c:v>3.0999999046325701</c:v>
                </c:pt>
                <c:pt idx="2">
                  <c:v>4.0999999046325701</c:v>
                </c:pt>
                <c:pt idx="3">
                  <c:v>5.0999999046325701</c:v>
                </c:pt>
                <c:pt idx="4">
                  <c:v>6.0999999046325701</c:v>
                </c:pt>
                <c:pt idx="5">
                  <c:v>7.0999999046325701</c:v>
                </c:pt>
                <c:pt idx="6">
                  <c:v>8.1000003814697301</c:v>
                </c:pt>
                <c:pt idx="7">
                  <c:v>9.1000003814697301</c:v>
                </c:pt>
                <c:pt idx="8">
                  <c:v>10.1000003814697</c:v>
                </c:pt>
                <c:pt idx="9">
                  <c:v>11.1000003814697</c:v>
                </c:pt>
                <c:pt idx="10">
                  <c:v>12.1000003814697</c:v>
                </c:pt>
                <c:pt idx="11">
                  <c:v>13.1000003814697</c:v>
                </c:pt>
                <c:pt idx="12">
                  <c:v>14.1000003814697</c:v>
                </c:pt>
                <c:pt idx="13">
                  <c:v>15.1000003814697</c:v>
                </c:pt>
                <c:pt idx="14">
                  <c:v>16.100000381469702</c:v>
                </c:pt>
                <c:pt idx="15">
                  <c:v>17.100000381469702</c:v>
                </c:pt>
                <c:pt idx="16">
                  <c:v>18.100000381469702</c:v>
                </c:pt>
                <c:pt idx="17">
                  <c:v>19.100000381469702</c:v>
                </c:pt>
                <c:pt idx="18">
                  <c:v>20.100000381469702</c:v>
                </c:pt>
                <c:pt idx="19">
                  <c:v>21.100000381469702</c:v>
                </c:pt>
                <c:pt idx="20">
                  <c:v>22.100000381469702</c:v>
                </c:pt>
                <c:pt idx="21">
                  <c:v>23.100000381469702</c:v>
                </c:pt>
                <c:pt idx="22">
                  <c:v>24.100000381469702</c:v>
                </c:pt>
                <c:pt idx="23">
                  <c:v>25.100000381469702</c:v>
                </c:pt>
                <c:pt idx="24">
                  <c:v>26.100000381469702</c:v>
                </c:pt>
                <c:pt idx="25">
                  <c:v>27.100000381469702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F2-491C-9EA4-B96340F908B8}"/>
            </c:ext>
          </c:extLst>
        </c:ser>
        <c:ser>
          <c:idx val="1"/>
          <c:order val="1"/>
          <c:tx>
            <c:v>Скорости P-волн в скважине 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Лист1!$K$4:$K$34</c:f>
              <c:numCache>
                <c:formatCode>0</c:formatCode>
                <c:ptCount val="31"/>
                <c:pt idx="0">
                  <c:v>689.59476638172293</c:v>
                </c:pt>
                <c:pt idx="1">
                  <c:v>767.38917108036344</c:v>
                </c:pt>
                <c:pt idx="2">
                  <c:v>985.17111950278627</c:v>
                </c:pt>
                <c:pt idx="3">
                  <c:v>1280.8890730121309</c:v>
                </c:pt>
                <c:pt idx="4">
                  <c:v>1558.2782735856103</c:v>
                </c:pt>
                <c:pt idx="5">
                  <c:v>1769.3461994821891</c:v>
                </c:pt>
                <c:pt idx="6">
                  <c:v>1920.1909061026467</c:v>
                </c:pt>
                <c:pt idx="7">
                  <c:v>2072.2419956403169</c:v>
                </c:pt>
                <c:pt idx="8">
                  <c:v>2166.8511662835317</c:v>
                </c:pt>
                <c:pt idx="9">
                  <c:v>2176.4917886781823</c:v>
                </c:pt>
                <c:pt idx="10">
                  <c:v>2243.0248535656442</c:v>
                </c:pt>
                <c:pt idx="11">
                  <c:v>2390.0262683733595</c:v>
                </c:pt>
                <c:pt idx="12">
                  <c:v>2664.1328463989571</c:v>
                </c:pt>
                <c:pt idx="13">
                  <c:v>2955.1991359689005</c:v>
                </c:pt>
                <c:pt idx="14">
                  <c:v>3048.3256908620938</c:v>
                </c:pt>
                <c:pt idx="15">
                  <c:v>3031.6351225417307</c:v>
                </c:pt>
                <c:pt idx="16">
                  <c:v>2964.8981249462681</c:v>
                </c:pt>
                <c:pt idx="17">
                  <c:v>2899.372756379239</c:v>
                </c:pt>
                <c:pt idx="18">
                  <c:v>2618.0694585612268</c:v>
                </c:pt>
                <c:pt idx="19">
                  <c:v>2770.5989547242357</c:v>
                </c:pt>
                <c:pt idx="20">
                  <c:v>2877.6606318792019</c:v>
                </c:pt>
                <c:pt idx="21">
                  <c:v>3036.7442173224258</c:v>
                </c:pt>
                <c:pt idx="22">
                  <c:v>3489.1198516419249</c:v>
                </c:pt>
                <c:pt idx="23">
                  <c:v>3675.4556249513971</c:v>
                </c:pt>
                <c:pt idx="24">
                  <c:v>4044.234695838883</c:v>
                </c:pt>
                <c:pt idx="25">
                  <c:v>4065.4687882191542</c:v>
                </c:pt>
                <c:pt idx="26">
                  <c:v>4140.1418186771889</c:v>
                </c:pt>
                <c:pt idx="27">
                  <c:v>3800.9182807053426</c:v>
                </c:pt>
                <c:pt idx="28">
                  <c:v>3756.8856536207886</c:v>
                </c:pt>
                <c:pt idx="29">
                  <c:v>3472.3165885615399</c:v>
                </c:pt>
                <c:pt idx="30">
                  <c:v>3032.2005062656581</c:v>
                </c:pt>
              </c:numCache>
            </c:numRef>
          </c:xVal>
          <c:yVal>
            <c:numRef>
              <c:f>Лист1!$I$4:$I$34</c:f>
              <c:numCache>
                <c:formatCode>0.00</c:formatCode>
                <c:ptCount val="31"/>
                <c:pt idx="0">
                  <c:v>0.80000001192092896</c:v>
                </c:pt>
                <c:pt idx="1">
                  <c:v>1.79999995231628</c:v>
                </c:pt>
                <c:pt idx="2">
                  <c:v>2.7999999523162802</c:v>
                </c:pt>
                <c:pt idx="3">
                  <c:v>3.7999999523162802</c:v>
                </c:pt>
                <c:pt idx="4">
                  <c:v>4.8000001907348597</c:v>
                </c:pt>
                <c:pt idx="5">
                  <c:v>5.8000001907348597</c:v>
                </c:pt>
                <c:pt idx="6">
                  <c:v>6.8000001907348597</c:v>
                </c:pt>
                <c:pt idx="7">
                  <c:v>7.8000001907348597</c:v>
                </c:pt>
                <c:pt idx="8">
                  <c:v>8.8000001907348597</c:v>
                </c:pt>
                <c:pt idx="9">
                  <c:v>9.8000001907348597</c:v>
                </c:pt>
                <c:pt idx="10">
                  <c:v>10.800000190734901</c:v>
                </c:pt>
                <c:pt idx="11">
                  <c:v>11.800000190734901</c:v>
                </c:pt>
                <c:pt idx="12">
                  <c:v>12.800000190734901</c:v>
                </c:pt>
                <c:pt idx="13">
                  <c:v>13.800000190734901</c:v>
                </c:pt>
                <c:pt idx="14">
                  <c:v>14.800000190734901</c:v>
                </c:pt>
                <c:pt idx="15">
                  <c:v>15.800000190734901</c:v>
                </c:pt>
                <c:pt idx="16">
                  <c:v>16.799999237060501</c:v>
                </c:pt>
                <c:pt idx="17">
                  <c:v>17.799999237060501</c:v>
                </c:pt>
                <c:pt idx="18">
                  <c:v>18.799999237060501</c:v>
                </c:pt>
                <c:pt idx="19">
                  <c:v>19.799999237060501</c:v>
                </c:pt>
                <c:pt idx="20">
                  <c:v>20.799999237060501</c:v>
                </c:pt>
                <c:pt idx="21">
                  <c:v>21.799999237060501</c:v>
                </c:pt>
                <c:pt idx="22">
                  <c:v>22.799999237060501</c:v>
                </c:pt>
                <c:pt idx="23">
                  <c:v>23.799999237060501</c:v>
                </c:pt>
                <c:pt idx="24">
                  <c:v>24.799999237060501</c:v>
                </c:pt>
                <c:pt idx="25">
                  <c:v>25.799999237060501</c:v>
                </c:pt>
                <c:pt idx="26">
                  <c:v>26.799999237060501</c:v>
                </c:pt>
                <c:pt idx="27">
                  <c:v>27.799999237060501</c:v>
                </c:pt>
                <c:pt idx="28">
                  <c:v>28.799999237060501</c:v>
                </c:pt>
                <c:pt idx="29">
                  <c:v>29.799999237060501</c:v>
                </c:pt>
                <c:pt idx="30">
                  <c:v>30.649999618530298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F2-491C-9EA4-B96340F90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2416"/>
        <c:axId val="3029056"/>
      </c:scatterChart>
      <c:valAx>
        <c:axId val="30124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Скорость, м/с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29056"/>
        <c:crosses val="autoZero"/>
        <c:crossBetween val="midCat"/>
      </c:valAx>
      <c:valAx>
        <c:axId val="302905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Глубина, 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1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459823603179707"/>
          <c:y val="0.12898197638861286"/>
          <c:w val="0.32247994160670246"/>
          <c:h val="9.0830156205662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Значения скоростей</a:t>
            </a:r>
            <a:r>
              <a:rPr lang="ru-RU" baseline="0"/>
              <a:t> поперечных волн</a:t>
            </a:r>
            <a:endParaRPr lang="ru-RU"/>
          </a:p>
        </c:rich>
      </c:tx>
      <c:layout>
        <c:manualLayout>
          <c:xMode val="edge"/>
          <c:yMode val="edge"/>
          <c:x val="0.15112102449533993"/>
          <c:y val="1.8002220059034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6920908798830178"/>
          <c:y val="0.11536691153294122"/>
          <c:w val="0.76266067873486487"/>
          <c:h val="0.86663086840802384"/>
        </c:manualLayout>
      </c:layout>
      <c:scatterChart>
        <c:scatterStyle val="smoothMarker"/>
        <c:varyColors val="0"/>
        <c:ser>
          <c:idx val="0"/>
          <c:order val="0"/>
          <c:tx>
            <c:v>Скорости S-волн в скважине 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Лист1!$G$4:$G$29</c:f>
              <c:numCache>
                <c:formatCode>0</c:formatCode>
                <c:ptCount val="26"/>
                <c:pt idx="0">
                  <c:v>461.29421802737824</c:v>
                </c:pt>
                <c:pt idx="1">
                  <c:v>480.41879556327291</c:v>
                </c:pt>
                <c:pt idx="2">
                  <c:v>525.22265556831553</c:v>
                </c:pt>
                <c:pt idx="3">
                  <c:v>597.64512563174094</c:v>
                </c:pt>
                <c:pt idx="4">
                  <c:v>651.56850264874959</c:v>
                </c:pt>
                <c:pt idx="5">
                  <c:v>705.86201691832946</c:v>
                </c:pt>
                <c:pt idx="6">
                  <c:v>745.59633005449484</c:v>
                </c:pt>
                <c:pt idx="7">
                  <c:v>767.20141854144754</c:v>
                </c:pt>
                <c:pt idx="8">
                  <c:v>798.74890668477894</c:v>
                </c:pt>
                <c:pt idx="9">
                  <c:v>848.6658315968466</c:v>
                </c:pt>
                <c:pt idx="10">
                  <c:v>964.57446799682077</c:v>
                </c:pt>
                <c:pt idx="11">
                  <c:v>1062.9314739656693</c:v>
                </c:pt>
                <c:pt idx="12">
                  <c:v>1167.2844153894966</c:v>
                </c:pt>
                <c:pt idx="13">
                  <c:v>1086.6638726775911</c:v>
                </c:pt>
                <c:pt idx="14">
                  <c:v>1008.6349568020656</c:v>
                </c:pt>
                <c:pt idx="15">
                  <c:v>840.98634993195662</c:v>
                </c:pt>
                <c:pt idx="16">
                  <c:v>823.89842618345222</c:v>
                </c:pt>
                <c:pt idx="17">
                  <c:v>923.59033486804685</c:v>
                </c:pt>
                <c:pt idx="18">
                  <c:v>1117.0978235519719</c:v>
                </c:pt>
                <c:pt idx="19">
                  <c:v>1554.8505284860501</c:v>
                </c:pt>
                <c:pt idx="20">
                  <c:v>1390.409560052412</c:v>
                </c:pt>
                <c:pt idx="21">
                  <c:v>1271.518296066735</c:v>
                </c:pt>
                <c:pt idx="22">
                  <c:v>1214.8901545494778</c:v>
                </c:pt>
                <c:pt idx="23">
                  <c:v>1187.6079630630252</c:v>
                </c:pt>
                <c:pt idx="24">
                  <c:v>1190.7841584752355</c:v>
                </c:pt>
                <c:pt idx="25">
                  <c:v>1221.8736441377528</c:v>
                </c:pt>
              </c:numCache>
            </c:numRef>
          </c:xVal>
          <c:yVal>
            <c:numRef>
              <c:f>Лист1!$E$4:$E$29</c:f>
              <c:numCache>
                <c:formatCode>0.00</c:formatCode>
                <c:ptCount val="26"/>
                <c:pt idx="0">
                  <c:v>2.0999999046325701</c:v>
                </c:pt>
                <c:pt idx="1">
                  <c:v>3.0999999046325701</c:v>
                </c:pt>
                <c:pt idx="2">
                  <c:v>4.0999999046325701</c:v>
                </c:pt>
                <c:pt idx="3">
                  <c:v>5.0999999046325701</c:v>
                </c:pt>
                <c:pt idx="4">
                  <c:v>6.0999999046325701</c:v>
                </c:pt>
                <c:pt idx="5">
                  <c:v>7.0999999046325701</c:v>
                </c:pt>
                <c:pt idx="6">
                  <c:v>8.1000003814697301</c:v>
                </c:pt>
                <c:pt idx="7">
                  <c:v>9.1000003814697301</c:v>
                </c:pt>
                <c:pt idx="8">
                  <c:v>10.1000003814697</c:v>
                </c:pt>
                <c:pt idx="9">
                  <c:v>11.1000003814697</c:v>
                </c:pt>
                <c:pt idx="10">
                  <c:v>12.1000003814697</c:v>
                </c:pt>
                <c:pt idx="11">
                  <c:v>13.1000003814697</c:v>
                </c:pt>
                <c:pt idx="12">
                  <c:v>14.1000003814697</c:v>
                </c:pt>
                <c:pt idx="13">
                  <c:v>15.1000003814697</c:v>
                </c:pt>
                <c:pt idx="14">
                  <c:v>16.100000381469702</c:v>
                </c:pt>
                <c:pt idx="15">
                  <c:v>17.100000381469702</c:v>
                </c:pt>
                <c:pt idx="16">
                  <c:v>18.100000381469702</c:v>
                </c:pt>
                <c:pt idx="17">
                  <c:v>19.100000381469702</c:v>
                </c:pt>
                <c:pt idx="18">
                  <c:v>20.100000381469702</c:v>
                </c:pt>
                <c:pt idx="19">
                  <c:v>21.100000381469702</c:v>
                </c:pt>
                <c:pt idx="20">
                  <c:v>22.100000381469702</c:v>
                </c:pt>
                <c:pt idx="21">
                  <c:v>23.100000381469702</c:v>
                </c:pt>
                <c:pt idx="22">
                  <c:v>24.100000381469702</c:v>
                </c:pt>
                <c:pt idx="23">
                  <c:v>25.100000381469702</c:v>
                </c:pt>
                <c:pt idx="24">
                  <c:v>26.100000381469702</c:v>
                </c:pt>
                <c:pt idx="25">
                  <c:v>27.100000381469702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6A-4604-BEFE-D6EA324EEA9E}"/>
            </c:ext>
          </c:extLst>
        </c:ser>
        <c:ser>
          <c:idx val="1"/>
          <c:order val="1"/>
          <c:tx>
            <c:v>Скорости S-волн в скважине 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Лист1!$O$4:$O$34</c:f>
              <c:numCache>
                <c:formatCode>0</c:formatCode>
                <c:ptCount val="31"/>
                <c:pt idx="0">
                  <c:v>310.75569847025605</c:v>
                </c:pt>
                <c:pt idx="1">
                  <c:v>346.18838411097329</c:v>
                </c:pt>
                <c:pt idx="2">
                  <c:v>501.97615070721702</c:v>
                </c:pt>
                <c:pt idx="3">
                  <c:v>587.06368385456085</c:v>
                </c:pt>
                <c:pt idx="4">
                  <c:v>609.79429075085557</c:v>
                </c:pt>
                <c:pt idx="5">
                  <c:v>711.64146348061684</c:v>
                </c:pt>
                <c:pt idx="6">
                  <c:v>760.32178578341689</c:v>
                </c:pt>
                <c:pt idx="7">
                  <c:v>960.04468288970111</c:v>
                </c:pt>
                <c:pt idx="8">
                  <c:v>1382.2275764775079</c:v>
                </c:pt>
                <c:pt idx="9">
                  <c:v>1462.5857055471033</c:v>
                </c:pt>
                <c:pt idx="10">
                  <c:v>1535.8127051615618</c:v>
                </c:pt>
                <c:pt idx="11">
                  <c:v>1605.0362724290951</c:v>
                </c:pt>
                <c:pt idx="12">
                  <c:v>1767.2709959320578</c:v>
                </c:pt>
                <c:pt idx="13">
                  <c:v>2016.2620615036699</c:v>
                </c:pt>
                <c:pt idx="14">
                  <c:v>1872.1124903223867</c:v>
                </c:pt>
                <c:pt idx="15">
                  <c:v>1720.2932048482896</c:v>
                </c:pt>
                <c:pt idx="16">
                  <c:v>1507.7195306293897</c:v>
                </c:pt>
                <c:pt idx="17">
                  <c:v>1436.1031621877316</c:v>
                </c:pt>
                <c:pt idx="18">
                  <c:v>1453.8497944369369</c:v>
                </c:pt>
                <c:pt idx="19">
                  <c:v>1456.9961782128048</c:v>
                </c:pt>
                <c:pt idx="20">
                  <c:v>1525.8464169770866</c:v>
                </c:pt>
                <c:pt idx="21">
                  <c:v>1315.0782658923617</c:v>
                </c:pt>
                <c:pt idx="22">
                  <c:v>1180.2959956329744</c:v>
                </c:pt>
                <c:pt idx="23">
                  <c:v>1204.1756695964175</c:v>
                </c:pt>
                <c:pt idx="24">
                  <c:v>1300.2539517051564</c:v>
                </c:pt>
                <c:pt idx="25">
                  <c:v>1476.7732407331407</c:v>
                </c:pt>
                <c:pt idx="26">
                  <c:v>1298.3794317392505</c:v>
                </c:pt>
                <c:pt idx="27">
                  <c:v>1154.5996910361462</c:v>
                </c:pt>
                <c:pt idx="28">
                  <c:v>1114.962072217591</c:v>
                </c:pt>
                <c:pt idx="29">
                  <c:v>1105.8810281954115</c:v>
                </c:pt>
                <c:pt idx="30">
                  <c:v>1214.9940538309502</c:v>
                </c:pt>
              </c:numCache>
            </c:numRef>
          </c:xVal>
          <c:yVal>
            <c:numRef>
              <c:f>Лист1!$M$4:$M$34</c:f>
              <c:numCache>
                <c:formatCode>0.00</c:formatCode>
                <c:ptCount val="31"/>
                <c:pt idx="0">
                  <c:v>0.8</c:v>
                </c:pt>
                <c:pt idx="1">
                  <c:v>1.8</c:v>
                </c:pt>
                <c:pt idx="2">
                  <c:v>2.8</c:v>
                </c:pt>
                <c:pt idx="3">
                  <c:v>3.8</c:v>
                </c:pt>
                <c:pt idx="4">
                  <c:v>4.8</c:v>
                </c:pt>
                <c:pt idx="5">
                  <c:v>5.8</c:v>
                </c:pt>
                <c:pt idx="6">
                  <c:v>6.8</c:v>
                </c:pt>
                <c:pt idx="7">
                  <c:v>7.8</c:v>
                </c:pt>
                <c:pt idx="8">
                  <c:v>8.8000000000000007</c:v>
                </c:pt>
                <c:pt idx="9">
                  <c:v>9.8000000000000007</c:v>
                </c:pt>
                <c:pt idx="10">
                  <c:v>10.8</c:v>
                </c:pt>
                <c:pt idx="11">
                  <c:v>11.8</c:v>
                </c:pt>
                <c:pt idx="12">
                  <c:v>12.8</c:v>
                </c:pt>
                <c:pt idx="13">
                  <c:v>13.8</c:v>
                </c:pt>
                <c:pt idx="14">
                  <c:v>14.8</c:v>
                </c:pt>
                <c:pt idx="15">
                  <c:v>15.8</c:v>
                </c:pt>
                <c:pt idx="16">
                  <c:v>16.8</c:v>
                </c:pt>
                <c:pt idx="17">
                  <c:v>17.8</c:v>
                </c:pt>
                <c:pt idx="18">
                  <c:v>18.8</c:v>
                </c:pt>
                <c:pt idx="19">
                  <c:v>19.8</c:v>
                </c:pt>
                <c:pt idx="20">
                  <c:v>20.8</c:v>
                </c:pt>
                <c:pt idx="21">
                  <c:v>21.8</c:v>
                </c:pt>
                <c:pt idx="22">
                  <c:v>22.8</c:v>
                </c:pt>
                <c:pt idx="23">
                  <c:v>23.8</c:v>
                </c:pt>
                <c:pt idx="24">
                  <c:v>24.8</c:v>
                </c:pt>
                <c:pt idx="25">
                  <c:v>25.8</c:v>
                </c:pt>
                <c:pt idx="26">
                  <c:v>26.8</c:v>
                </c:pt>
                <c:pt idx="27">
                  <c:v>27.8</c:v>
                </c:pt>
                <c:pt idx="28">
                  <c:v>28.8</c:v>
                </c:pt>
                <c:pt idx="29">
                  <c:v>29.8</c:v>
                </c:pt>
                <c:pt idx="30">
                  <c:v>30.8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6A-4604-BEFE-D6EA324EE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2416"/>
        <c:axId val="3029056"/>
      </c:scatterChart>
      <c:valAx>
        <c:axId val="30124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Скорость, м/с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29056"/>
        <c:crosses val="autoZero"/>
        <c:crossBetween val="midCat"/>
      </c:valAx>
      <c:valAx>
        <c:axId val="302905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Глубина, 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1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459823603179707"/>
          <c:y val="0.12898197638861286"/>
          <c:w val="0.32247994160670246"/>
          <c:h val="9.0830156205662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552450</xdr:colOff>
      <xdr:row>0</xdr:row>
      <xdr:rowOff>0</xdr:rowOff>
    </xdr:from>
    <xdr:ext cx="3543300" cy="6029325"/>
    <xdr:graphicFrame macro="">
      <xdr:nvGraphicFramePr>
        <xdr:cNvPr id="1684642645" name="Chart 1">
          <a:extLst>
            <a:ext uri="{FF2B5EF4-FFF2-40B4-BE49-F238E27FC236}">
              <a16:creationId xmlns:a16="http://schemas.microsoft.com/office/drawing/2014/main" id="{00000000-0008-0000-0000-0000559B6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85725</xdr:colOff>
      <xdr:row>0</xdr:row>
      <xdr:rowOff>0</xdr:rowOff>
    </xdr:from>
    <xdr:ext cx="3543300" cy="6029325"/>
    <xdr:graphicFrame macro="">
      <xdr:nvGraphicFramePr>
        <xdr:cNvPr id="1991422654" name="Chart 2">
          <a:extLst>
            <a:ext uri="{FF2B5EF4-FFF2-40B4-BE49-F238E27FC236}">
              <a16:creationId xmlns:a16="http://schemas.microsoft.com/office/drawing/2014/main" id="{00000000-0008-0000-0000-0000BEB2B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3543300" cy="6029325"/>
    <xdr:graphicFrame macro="">
      <xdr:nvGraphicFramePr>
        <xdr:cNvPr id="1333638340" name="Chart 3">
          <a:extLst>
            <a:ext uri="{FF2B5EF4-FFF2-40B4-BE49-F238E27FC236}">
              <a16:creationId xmlns:a16="http://schemas.microsoft.com/office/drawing/2014/main" id="{00000000-0008-0000-0100-0000C4B47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104775</xdr:colOff>
      <xdr:row>0</xdr:row>
      <xdr:rowOff>0</xdr:rowOff>
    </xdr:from>
    <xdr:ext cx="3543300" cy="6029325"/>
    <xdr:graphicFrame macro="">
      <xdr:nvGraphicFramePr>
        <xdr:cNvPr id="590672398" name="Chart 4">
          <a:extLst>
            <a:ext uri="{FF2B5EF4-FFF2-40B4-BE49-F238E27FC236}">
              <a16:creationId xmlns:a16="http://schemas.microsoft.com/office/drawing/2014/main" id="{00000000-0008-0000-0100-00000EF23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3543300" cy="6029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2639DB-018C-42D8-A535-9F7F616D1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552450</xdr:colOff>
      <xdr:row>0</xdr:row>
      <xdr:rowOff>0</xdr:rowOff>
    </xdr:from>
    <xdr:ext cx="3543300" cy="60293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DABE49-26D1-48C5-BE35-EF1B1E7C6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</xdr:colOff>
      <xdr:row>0</xdr:row>
      <xdr:rowOff>19050</xdr:rowOff>
    </xdr:from>
    <xdr:ext cx="3543300" cy="6029325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11ED6E8-07E3-4E5E-917C-8DFDBA7E2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561975</xdr:colOff>
      <xdr:row>0</xdr:row>
      <xdr:rowOff>19050</xdr:rowOff>
    </xdr:from>
    <xdr:ext cx="3543300" cy="6029325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C92A67A0-408C-418D-AD0C-1F999FEDB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81643</xdr:colOff>
      <xdr:row>0</xdr:row>
      <xdr:rowOff>0</xdr:rowOff>
    </xdr:from>
    <xdr:to>
      <xdr:col>23</xdr:col>
      <xdr:colOff>40821</xdr:colOff>
      <xdr:row>40</xdr:row>
      <xdr:rowOff>140154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A8A7219-F143-4A6F-8EAA-46BD81D6F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56030</xdr:colOff>
      <xdr:row>0</xdr:row>
      <xdr:rowOff>0</xdr:rowOff>
    </xdr:from>
    <xdr:to>
      <xdr:col>30</xdr:col>
      <xdr:colOff>15209</xdr:colOff>
      <xdr:row>40</xdr:row>
      <xdr:rowOff>140154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3DBD672-575D-438C-BE37-D54E37EA0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0</xdr:colOff>
      <xdr:row>0</xdr:row>
      <xdr:rowOff>0</xdr:rowOff>
    </xdr:from>
    <xdr:to>
      <xdr:col>36</xdr:col>
      <xdr:colOff>564296</xdr:colOff>
      <xdr:row>40</xdr:row>
      <xdr:rowOff>140154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37C0F15-A4A6-44F6-BD66-ACF5B51D0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560294</xdr:colOff>
      <xdr:row>0</xdr:row>
      <xdr:rowOff>0</xdr:rowOff>
    </xdr:from>
    <xdr:to>
      <xdr:col>43</xdr:col>
      <xdr:colOff>519473</xdr:colOff>
      <xdr:row>40</xdr:row>
      <xdr:rowOff>140154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53482BB-1665-4B2D-B66C-C122FAC52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E24" sqref="E24"/>
    </sheetView>
  </sheetViews>
  <sheetFormatPr defaultColWidth="14.42578125" defaultRowHeight="15" customHeight="1" x14ac:dyDescent="0.25"/>
  <cols>
    <col min="1" max="2" width="8.7109375" customWidth="1"/>
    <col min="3" max="3" width="17.140625" customWidth="1"/>
    <col min="4" max="4" width="15.85546875" customWidth="1"/>
    <col min="5" max="5" width="18.7109375" customWidth="1"/>
    <col min="6" max="7" width="14.28515625" customWidth="1"/>
    <col min="8" max="25" width="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1">
        <v>6</v>
      </c>
      <c r="B2" s="1">
        <v>1.1000000238418599</v>
      </c>
      <c r="C2" s="1">
        <v>10.662650108337401</v>
      </c>
      <c r="D2" s="1">
        <f t="shared" ref="D2:D28" si="0">B2/SQRT(A2*A2+B2*B2)</f>
        <v>0.18032787263386343</v>
      </c>
      <c r="E2" s="1">
        <f t="shared" ref="E2:E28" si="1">C2*D2</f>
        <v>1.9227730106757168</v>
      </c>
      <c r="F2" s="3"/>
      <c r="G2" s="3"/>
    </row>
    <row r="3" spans="1:7" x14ac:dyDescent="0.25">
      <c r="A3" s="1">
        <v>6</v>
      </c>
      <c r="B3" s="1">
        <v>2.0999999046325701</v>
      </c>
      <c r="C3" s="1">
        <v>10.5993976593018</v>
      </c>
      <c r="D3" s="1">
        <f t="shared" si="0"/>
        <v>0.33035041136309551</v>
      </c>
      <c r="E3" s="1">
        <f t="shared" si="1"/>
        <v>3.5015153769513816</v>
      </c>
      <c r="F3" s="4">
        <f t="shared" ref="F3:F28" si="2">SLOPE(B1:B5,E1:E5)*1000</f>
        <v>705.57675410410434</v>
      </c>
      <c r="G3" s="3"/>
    </row>
    <row r="4" spans="1:7" x14ac:dyDescent="0.25">
      <c r="A4" s="1">
        <v>6</v>
      </c>
      <c r="B4" s="1">
        <v>3.0999999046325701</v>
      </c>
      <c r="C4" s="1">
        <v>10.753012657165501</v>
      </c>
      <c r="D4" s="1">
        <f t="shared" si="0"/>
        <v>0.4590200407305064</v>
      </c>
      <c r="E4" s="1">
        <f t="shared" si="1"/>
        <v>4.9358483078677589</v>
      </c>
      <c r="F4" s="4">
        <f t="shared" si="2"/>
        <v>749.93364150781679</v>
      </c>
      <c r="G4" s="4">
        <f t="shared" ref="G4:G27" si="3">SLOPE(B1:B7,E1:E7)*1000</f>
        <v>809.23219019050521</v>
      </c>
    </row>
    <row r="5" spans="1:7" x14ac:dyDescent="0.25">
      <c r="A5" s="1">
        <v>6</v>
      </c>
      <c r="B5" s="1">
        <v>4.0999999046325701</v>
      </c>
      <c r="C5" s="1">
        <v>10.906626701355</v>
      </c>
      <c r="D5" s="1">
        <f t="shared" si="0"/>
        <v>0.56419049607956784</v>
      </c>
      <c r="E5" s="1">
        <f t="shared" si="1"/>
        <v>6.1534151291921377</v>
      </c>
      <c r="F5" s="4">
        <f t="shared" si="2"/>
        <v>878.92677489567484</v>
      </c>
      <c r="G5" s="4">
        <f t="shared" si="3"/>
        <v>902.80250893137793</v>
      </c>
    </row>
    <row r="6" spans="1:7" x14ac:dyDescent="0.25">
      <c r="A6" s="1">
        <v>6</v>
      </c>
      <c r="B6" s="1">
        <v>5.0999999046325701</v>
      </c>
      <c r="C6" s="1">
        <v>11.1524095535278</v>
      </c>
      <c r="D6" s="1">
        <f t="shared" si="0"/>
        <v>0.64764841306465559</v>
      </c>
      <c r="E6" s="1">
        <f t="shared" si="1"/>
        <v>7.2228403491893838</v>
      </c>
      <c r="F6" s="4">
        <f t="shared" si="2"/>
        <v>1158.5367844428124</v>
      </c>
      <c r="G6" s="4">
        <f t="shared" si="3"/>
        <v>1131.211027702818</v>
      </c>
    </row>
    <row r="7" spans="1:7" x14ac:dyDescent="0.25">
      <c r="A7" s="1">
        <v>6</v>
      </c>
      <c r="B7" s="1">
        <v>6.0999999046325701</v>
      </c>
      <c r="C7" s="1">
        <v>11.183133125305201</v>
      </c>
      <c r="D7" s="1">
        <f t="shared" si="0"/>
        <v>0.71292628690466442</v>
      </c>
      <c r="E7" s="1">
        <f t="shared" si="1"/>
        <v>7.972749574984392</v>
      </c>
      <c r="F7" s="4">
        <f t="shared" si="2"/>
        <v>1671.5260067879033</v>
      </c>
      <c r="G7" s="4">
        <f t="shared" si="3"/>
        <v>1515.7446444267532</v>
      </c>
    </row>
    <row r="8" spans="1:7" x14ac:dyDescent="0.25">
      <c r="A8" s="1">
        <v>6</v>
      </c>
      <c r="B8" s="1">
        <v>7.0999999046325701</v>
      </c>
      <c r="C8" s="1">
        <v>10.4475908279419</v>
      </c>
      <c r="D8" s="1">
        <f t="shared" si="0"/>
        <v>0.76379417812113759</v>
      </c>
      <c r="E8" s="1">
        <f t="shared" si="1"/>
        <v>7.9798090497738192</v>
      </c>
      <c r="F8" s="4">
        <f t="shared" si="2"/>
        <v>2849.3901964160009</v>
      </c>
      <c r="G8" s="4">
        <f t="shared" si="3"/>
        <v>2107.2992874738848</v>
      </c>
    </row>
    <row r="9" spans="1:7" x14ac:dyDescent="0.25">
      <c r="A9" s="1">
        <v>6</v>
      </c>
      <c r="B9" s="1">
        <v>8.1000003814697301</v>
      </c>
      <c r="C9" s="1">
        <v>10.4475908279419</v>
      </c>
      <c r="D9" s="1">
        <f t="shared" si="0"/>
        <v>0.80355720675255682</v>
      </c>
      <c r="E9" s="1">
        <f t="shared" si="1"/>
        <v>8.3952369029946254</v>
      </c>
      <c r="F9" s="4">
        <f t="shared" si="2"/>
        <v>3208.6411664412549</v>
      </c>
      <c r="G9" s="4">
        <f t="shared" si="3"/>
        <v>2574.1561108334504</v>
      </c>
    </row>
    <row r="10" spans="1:7" x14ac:dyDescent="0.25">
      <c r="A10" s="1">
        <v>6</v>
      </c>
      <c r="B10" s="1">
        <v>9.1000003814697301</v>
      </c>
      <c r="C10" s="1">
        <v>10.2993984222412</v>
      </c>
      <c r="D10" s="1">
        <f t="shared" si="0"/>
        <v>0.83486239592542688</v>
      </c>
      <c r="E10" s="1">
        <f t="shared" si="1"/>
        <v>8.5985804433828505</v>
      </c>
      <c r="F10" s="4">
        <f t="shared" si="2"/>
        <v>2306.5977991534096</v>
      </c>
      <c r="G10" s="4">
        <f t="shared" si="3"/>
        <v>2585.3861773146555</v>
      </c>
    </row>
    <row r="11" spans="1:7" x14ac:dyDescent="0.25">
      <c r="A11" s="1">
        <v>6</v>
      </c>
      <c r="B11" s="1">
        <v>10.1000003814697</v>
      </c>
      <c r="C11" s="1">
        <v>10.595783233642599</v>
      </c>
      <c r="D11" s="1">
        <f t="shared" si="0"/>
        <v>0.85973795517527973</v>
      </c>
      <c r="E11" s="1">
        <f t="shared" si="1"/>
        <v>9.1095970107724025</v>
      </c>
      <c r="F11" s="4">
        <f t="shared" si="2"/>
        <v>2226.8183776724181</v>
      </c>
      <c r="G11" s="4">
        <f t="shared" si="3"/>
        <v>2425.1572718858797</v>
      </c>
    </row>
    <row r="12" spans="1:7" x14ac:dyDescent="0.25">
      <c r="A12" s="1">
        <v>6</v>
      </c>
      <c r="B12" s="1">
        <v>11.1000003814697</v>
      </c>
      <c r="C12" s="1">
        <v>11.056627273559601</v>
      </c>
      <c r="D12" s="1">
        <f t="shared" si="0"/>
        <v>0.8797065204122051</v>
      </c>
      <c r="E12" s="1">
        <f t="shared" si="1"/>
        <v>9.7265871063178029</v>
      </c>
      <c r="F12" s="4">
        <f t="shared" si="2"/>
        <v>2240.5670550998311</v>
      </c>
      <c r="G12" s="4">
        <f t="shared" si="3"/>
        <v>2487.0347257489689</v>
      </c>
    </row>
    <row r="13" spans="1:7" x14ac:dyDescent="0.25">
      <c r="A13" s="1">
        <v>6</v>
      </c>
      <c r="B13" s="1">
        <v>12.1000003814697</v>
      </c>
      <c r="C13" s="1">
        <v>11.188554763793899</v>
      </c>
      <c r="D13" s="1">
        <f t="shared" si="0"/>
        <v>0.89590312477372858</v>
      </c>
      <c r="E13" s="1">
        <f t="shared" si="1"/>
        <v>10.02386117458494</v>
      </c>
      <c r="F13" s="4">
        <f t="shared" si="2"/>
        <v>2670.3843522826701</v>
      </c>
      <c r="G13" s="4">
        <f t="shared" si="3"/>
        <v>2636.6645084602942</v>
      </c>
    </row>
    <row r="14" spans="1:7" x14ac:dyDescent="0.25">
      <c r="A14" s="1">
        <v>6</v>
      </c>
      <c r="B14" s="1">
        <v>13.1000003814697</v>
      </c>
      <c r="C14" s="1">
        <v>11.345783233642599</v>
      </c>
      <c r="D14" s="1">
        <f t="shared" si="0"/>
        <v>0.9091743267511615</v>
      </c>
      <c r="E14" s="1">
        <f t="shared" si="1"/>
        <v>10.315294832911626</v>
      </c>
      <c r="F14" s="4">
        <f t="shared" si="2"/>
        <v>3593.6212859988423</v>
      </c>
      <c r="G14" s="4">
        <f t="shared" si="3"/>
        <v>2972.3147246598551</v>
      </c>
    </row>
    <row r="15" spans="1:7" x14ac:dyDescent="0.25">
      <c r="A15" s="1">
        <v>6</v>
      </c>
      <c r="B15" s="1">
        <v>14.1000003814697</v>
      </c>
      <c r="C15" s="1">
        <v>11.5566263198853</v>
      </c>
      <c r="D15" s="1">
        <f t="shared" si="0"/>
        <v>0.9201546394452752</v>
      </c>
      <c r="E15" s="1">
        <f t="shared" si="1"/>
        <v>10.633883324577836</v>
      </c>
      <c r="F15" s="4">
        <f t="shared" si="2"/>
        <v>3324.5395606670595</v>
      </c>
      <c r="G15" s="4">
        <f t="shared" si="3"/>
        <v>3332.1271526780556</v>
      </c>
    </row>
    <row r="16" spans="1:7" x14ac:dyDescent="0.25">
      <c r="A16" s="1">
        <v>6</v>
      </c>
      <c r="B16" s="1">
        <v>15.1000003814697</v>
      </c>
      <c r="C16" s="1">
        <v>11.6222896575928</v>
      </c>
      <c r="D16" s="1">
        <f t="shared" si="0"/>
        <v>0.92932315944462141</v>
      </c>
      <c r="E16" s="1">
        <f t="shared" si="1"/>
        <v>10.800862944574687</v>
      </c>
      <c r="F16" s="4">
        <f t="shared" si="2"/>
        <v>3232.8260678343058</v>
      </c>
      <c r="G16" s="4">
        <f t="shared" si="3"/>
        <v>3123.847232875723</v>
      </c>
    </row>
    <row r="17" spans="1:7" x14ac:dyDescent="0.25">
      <c r="A17" s="1">
        <v>6</v>
      </c>
      <c r="B17" s="1">
        <v>16.100000381469702</v>
      </c>
      <c r="C17" s="1">
        <v>12.0162649154663</v>
      </c>
      <c r="D17" s="1">
        <f t="shared" si="0"/>
        <v>0.9370447783114777</v>
      </c>
      <c r="E17" s="1">
        <f t="shared" si="1"/>
        <v>11.259778293845105</v>
      </c>
      <c r="F17" s="4">
        <f t="shared" si="2"/>
        <v>2897.529282169407</v>
      </c>
      <c r="G17" s="4">
        <f t="shared" si="3"/>
        <v>2962.4517015891311</v>
      </c>
    </row>
    <row r="18" spans="1:7" x14ac:dyDescent="0.25">
      <c r="A18" s="1">
        <v>6</v>
      </c>
      <c r="B18" s="1">
        <v>17.100000381469702</v>
      </c>
      <c r="C18" s="1">
        <v>12.213253021240201</v>
      </c>
      <c r="D18" s="1">
        <f t="shared" si="0"/>
        <v>0.94359998444036097</v>
      </c>
      <c r="E18" s="1">
        <f t="shared" si="1"/>
        <v>11.524425360808445</v>
      </c>
      <c r="F18" s="4">
        <f t="shared" si="2"/>
        <v>2674.6966602498032</v>
      </c>
      <c r="G18" s="4">
        <f t="shared" si="3"/>
        <v>2750.7381989581381</v>
      </c>
    </row>
    <row r="19" spans="1:7" x14ac:dyDescent="0.25">
      <c r="A19" s="1">
        <v>6</v>
      </c>
      <c r="B19" s="1">
        <v>18.100000381469702</v>
      </c>
      <c r="C19" s="1">
        <v>12.6072292327881</v>
      </c>
      <c r="D19" s="1">
        <f t="shared" si="0"/>
        <v>0.94920641893093738</v>
      </c>
      <c r="E19" s="1">
        <f t="shared" si="1"/>
        <v>11.966862912696222</v>
      </c>
      <c r="F19" s="4">
        <f t="shared" si="2"/>
        <v>2629.0732834526943</v>
      </c>
      <c r="G19" s="4">
        <f t="shared" si="3"/>
        <v>2553.5670637427247</v>
      </c>
    </row>
    <row r="20" spans="1:7" x14ac:dyDescent="0.25">
      <c r="A20" s="1">
        <v>6</v>
      </c>
      <c r="B20" s="1">
        <v>19.100000381469702</v>
      </c>
      <c r="C20" s="1">
        <v>12.8999996185303</v>
      </c>
      <c r="D20" s="1">
        <f t="shared" si="0"/>
        <v>0.95403453027396867</v>
      </c>
      <c r="E20" s="1">
        <f t="shared" si="1"/>
        <v>12.30704507659893</v>
      </c>
      <c r="F20" s="4">
        <f t="shared" si="2"/>
        <v>2427.4867206491513</v>
      </c>
      <c r="G20" s="4">
        <f t="shared" si="3"/>
        <v>2661.2843153755816</v>
      </c>
    </row>
    <row r="21" spans="1:7" ht="15.75" customHeight="1" x14ac:dyDescent="0.25">
      <c r="A21" s="1">
        <v>6</v>
      </c>
      <c r="B21" s="1">
        <v>20.100000381469702</v>
      </c>
      <c r="C21" s="1">
        <v>13.314456939697299</v>
      </c>
      <c r="D21" s="1">
        <f t="shared" si="0"/>
        <v>0.95821901488914574</v>
      </c>
      <c r="E21" s="1">
        <f t="shared" si="1"/>
        <v>12.758165812540696</v>
      </c>
      <c r="F21" s="4">
        <f t="shared" si="2"/>
        <v>2671.5517328089327</v>
      </c>
      <c r="G21" s="4">
        <f t="shared" si="3"/>
        <v>2616.3599282729283</v>
      </c>
    </row>
    <row r="22" spans="1:7" ht="15.75" customHeight="1" x14ac:dyDescent="0.25">
      <c r="A22" s="1">
        <v>6</v>
      </c>
      <c r="B22" s="1">
        <v>21.100000381469702</v>
      </c>
      <c r="C22" s="1">
        <v>13.7078313827515</v>
      </c>
      <c r="D22" s="1">
        <f t="shared" si="0"/>
        <v>0.96186724115442546</v>
      </c>
      <c r="E22" s="1">
        <f t="shared" si="1"/>
        <v>13.185113954337238</v>
      </c>
      <c r="F22" s="4">
        <f t="shared" si="2"/>
        <v>2675.8738214053983</v>
      </c>
      <c r="G22" s="4">
        <f t="shared" si="3"/>
        <v>2654.7499736295945</v>
      </c>
    </row>
    <row r="23" spans="1:7" ht="15.75" customHeight="1" x14ac:dyDescent="0.25">
      <c r="A23" s="1">
        <v>6</v>
      </c>
      <c r="B23" s="1">
        <v>22.100000381469702</v>
      </c>
      <c r="C23" s="1">
        <v>13.8560247421265</v>
      </c>
      <c r="D23" s="1">
        <f t="shared" si="0"/>
        <v>0.96506550332695862</v>
      </c>
      <c r="E23" s="1">
        <f t="shared" si="1"/>
        <v>13.371971491871102</v>
      </c>
      <c r="F23" s="4">
        <f t="shared" si="2"/>
        <v>2731.8194567863575</v>
      </c>
      <c r="G23" s="4">
        <f t="shared" si="3"/>
        <v>2686.6530181642479</v>
      </c>
    </row>
    <row r="24" spans="1:7" ht="15.75" customHeight="1" x14ac:dyDescent="0.25">
      <c r="A24" s="1">
        <v>6</v>
      </c>
      <c r="B24" s="1">
        <v>23.100000381469702</v>
      </c>
      <c r="C24" s="1">
        <v>14.3006029129028</v>
      </c>
      <c r="D24" s="1">
        <f t="shared" si="0"/>
        <v>0.96788370393089296</v>
      </c>
      <c r="E24" s="1">
        <f t="shared" si="1"/>
        <v>13.841320515785279</v>
      </c>
      <c r="F24" s="4">
        <f t="shared" si="2"/>
        <v>2734.6914096431319</v>
      </c>
      <c r="G24" s="4">
        <f t="shared" si="3"/>
        <v>3072.4779997247497</v>
      </c>
    </row>
    <row r="25" spans="1:7" ht="15.75" customHeight="1" x14ac:dyDescent="0.25">
      <c r="A25" s="1">
        <v>6</v>
      </c>
      <c r="B25" s="1">
        <v>24.100000381469702</v>
      </c>
      <c r="C25" s="1">
        <v>14.671084403991699</v>
      </c>
      <c r="D25" s="1">
        <f t="shared" si="0"/>
        <v>0.97037888952552454</v>
      </c>
      <c r="E25" s="1">
        <f t="shared" si="1"/>
        <v>14.236510592080707</v>
      </c>
      <c r="F25" s="4">
        <f t="shared" si="2"/>
        <v>3034.4971164895596</v>
      </c>
      <c r="G25" s="4">
        <f t="shared" si="3"/>
        <v>3381.1654827272596</v>
      </c>
    </row>
    <row r="26" spans="1:7" ht="15.75" customHeight="1" x14ac:dyDescent="0.25">
      <c r="A26" s="1">
        <v>6</v>
      </c>
      <c r="B26" s="1">
        <v>25.100000381469702</v>
      </c>
      <c r="C26" s="1">
        <v>14.967470169067401</v>
      </c>
      <c r="D26" s="1">
        <f t="shared" si="0"/>
        <v>0.97259794319666604</v>
      </c>
      <c r="E26" s="1">
        <f t="shared" si="1"/>
        <v>14.557330701292409</v>
      </c>
      <c r="F26" s="4">
        <f t="shared" si="2"/>
        <v>3978.1111721507277</v>
      </c>
      <c r="G26" s="4">
        <f t="shared" si="3"/>
        <v>3366.5205739806279</v>
      </c>
    </row>
    <row r="27" spans="1:7" ht="15.75" customHeight="1" x14ac:dyDescent="0.25">
      <c r="A27" s="1">
        <v>6</v>
      </c>
      <c r="B27" s="1">
        <v>26.100000381469702</v>
      </c>
      <c r="C27" s="1">
        <v>14.819277763366699</v>
      </c>
      <c r="D27" s="1">
        <f t="shared" si="0"/>
        <v>0.97457965179443506</v>
      </c>
      <c r="E27" s="1">
        <f t="shared" si="1"/>
        <v>14.442566562466933</v>
      </c>
      <c r="F27" s="4">
        <f t="shared" si="2"/>
        <v>4526.561590635115</v>
      </c>
      <c r="G27" s="4">
        <f t="shared" si="3"/>
        <v>3978.1111721507277</v>
      </c>
    </row>
    <row r="28" spans="1:7" ht="15.75" customHeight="1" x14ac:dyDescent="0.25">
      <c r="A28" s="1">
        <v>6</v>
      </c>
      <c r="B28" s="1">
        <v>27.100000381469702</v>
      </c>
      <c r="C28" s="1">
        <v>15.1897592544556</v>
      </c>
      <c r="D28" s="1">
        <f t="shared" si="0"/>
        <v>0.97635630578095911</v>
      </c>
      <c r="E28" s="1">
        <f t="shared" si="1"/>
        <v>14.830617231382405</v>
      </c>
      <c r="F28" s="4">
        <f t="shared" si="2"/>
        <v>3438.4363804973318</v>
      </c>
      <c r="G28" s="3"/>
    </row>
    <row r="29" spans="1:7" ht="15.75" customHeight="1" x14ac:dyDescent="0.25">
      <c r="F29" s="2"/>
      <c r="G29" s="2"/>
    </row>
    <row r="30" spans="1:7" ht="15.75" customHeight="1" x14ac:dyDescent="0.25">
      <c r="F30" s="2"/>
      <c r="G30" s="2"/>
    </row>
    <row r="31" spans="1:7" ht="15.75" customHeight="1" x14ac:dyDescent="0.25">
      <c r="F31" s="2"/>
      <c r="G31" s="2"/>
    </row>
    <row r="32" spans="1:7" ht="15.75" customHeight="1" x14ac:dyDescent="0.25">
      <c r="F32" s="2"/>
      <c r="G32" s="2"/>
    </row>
    <row r="33" spans="6:7" ht="15.75" customHeight="1" x14ac:dyDescent="0.25">
      <c r="F33" s="2"/>
      <c r="G33" s="2"/>
    </row>
    <row r="34" spans="6:7" ht="15.75" customHeight="1" x14ac:dyDescent="0.25">
      <c r="F34" s="2"/>
      <c r="G34" s="2"/>
    </row>
    <row r="35" spans="6:7" ht="15.75" customHeight="1" x14ac:dyDescent="0.25">
      <c r="F35" s="2"/>
      <c r="G35" s="2"/>
    </row>
    <row r="36" spans="6:7" ht="15.75" customHeight="1" x14ac:dyDescent="0.25">
      <c r="F36" s="2"/>
      <c r="G36" s="2"/>
    </row>
    <row r="37" spans="6:7" ht="15.75" customHeight="1" x14ac:dyDescent="0.25">
      <c r="F37" s="2"/>
      <c r="G37" s="2"/>
    </row>
    <row r="38" spans="6:7" ht="15.75" customHeight="1" x14ac:dyDescent="0.25">
      <c r="F38" s="2"/>
      <c r="G38" s="2"/>
    </row>
    <row r="39" spans="6:7" ht="15.75" customHeight="1" x14ac:dyDescent="0.25">
      <c r="F39" s="2"/>
      <c r="G39" s="2"/>
    </row>
    <row r="40" spans="6:7" ht="15.75" customHeight="1" x14ac:dyDescent="0.25">
      <c r="F40" s="2"/>
      <c r="G40" s="2"/>
    </row>
    <row r="41" spans="6:7" ht="15.75" customHeight="1" x14ac:dyDescent="0.25">
      <c r="F41" s="2"/>
      <c r="G41" s="2"/>
    </row>
    <row r="42" spans="6:7" ht="15.75" customHeight="1" x14ac:dyDescent="0.25">
      <c r="F42" s="2"/>
      <c r="G42" s="2"/>
    </row>
    <row r="43" spans="6:7" ht="15.75" customHeight="1" x14ac:dyDescent="0.25">
      <c r="F43" s="2"/>
      <c r="G43" s="2"/>
    </row>
    <row r="44" spans="6:7" ht="15.75" customHeight="1" x14ac:dyDescent="0.25">
      <c r="F44" s="2"/>
      <c r="G44" s="2"/>
    </row>
    <row r="45" spans="6:7" ht="15.75" customHeight="1" x14ac:dyDescent="0.25">
      <c r="F45" s="2"/>
      <c r="G45" s="2"/>
    </row>
    <row r="46" spans="6:7" ht="15.75" customHeight="1" x14ac:dyDescent="0.25">
      <c r="F46" s="2"/>
      <c r="G46" s="2"/>
    </row>
    <row r="47" spans="6:7" ht="15.75" customHeight="1" x14ac:dyDescent="0.25">
      <c r="F47" s="2"/>
      <c r="G47" s="2"/>
    </row>
    <row r="48" spans="6:7" ht="15.75" customHeight="1" x14ac:dyDescent="0.25">
      <c r="F48" s="2"/>
      <c r="G48" s="2"/>
    </row>
    <row r="49" spans="6:7" ht="15.75" customHeight="1" x14ac:dyDescent="0.25">
      <c r="F49" s="2"/>
      <c r="G49" s="2"/>
    </row>
    <row r="50" spans="6:7" ht="15.75" customHeight="1" x14ac:dyDescent="0.25">
      <c r="F50" s="2"/>
      <c r="G50" s="2"/>
    </row>
    <row r="51" spans="6:7" ht="15.75" customHeight="1" x14ac:dyDescent="0.25">
      <c r="F51" s="2"/>
      <c r="G51" s="2"/>
    </row>
    <row r="52" spans="6:7" ht="15.75" customHeight="1" x14ac:dyDescent="0.25">
      <c r="F52" s="2"/>
      <c r="G52" s="2"/>
    </row>
    <row r="53" spans="6:7" ht="15.75" customHeight="1" x14ac:dyDescent="0.25">
      <c r="F53" s="2"/>
      <c r="G53" s="2"/>
    </row>
    <row r="54" spans="6:7" ht="15.75" customHeight="1" x14ac:dyDescent="0.25">
      <c r="F54" s="2"/>
      <c r="G54" s="2"/>
    </row>
    <row r="55" spans="6:7" ht="15.75" customHeight="1" x14ac:dyDescent="0.25">
      <c r="F55" s="2"/>
      <c r="G55" s="2"/>
    </row>
    <row r="56" spans="6:7" ht="15.75" customHeight="1" x14ac:dyDescent="0.25">
      <c r="F56" s="2"/>
      <c r="G56" s="2"/>
    </row>
    <row r="57" spans="6:7" ht="15.75" customHeight="1" x14ac:dyDescent="0.25">
      <c r="F57" s="2"/>
      <c r="G57" s="2"/>
    </row>
    <row r="58" spans="6:7" ht="15.75" customHeight="1" x14ac:dyDescent="0.25">
      <c r="F58" s="2"/>
      <c r="G58" s="2"/>
    </row>
    <row r="59" spans="6:7" ht="15.75" customHeight="1" x14ac:dyDescent="0.25">
      <c r="F59" s="2"/>
      <c r="G59" s="2"/>
    </row>
    <row r="60" spans="6:7" ht="15.75" customHeight="1" x14ac:dyDescent="0.25">
      <c r="F60" s="2"/>
      <c r="G60" s="2"/>
    </row>
    <row r="61" spans="6:7" ht="15.75" customHeight="1" x14ac:dyDescent="0.25">
      <c r="F61" s="2"/>
      <c r="G61" s="2"/>
    </row>
    <row r="62" spans="6:7" ht="15.75" customHeight="1" x14ac:dyDescent="0.25">
      <c r="F62" s="2"/>
      <c r="G62" s="2"/>
    </row>
    <row r="63" spans="6:7" ht="15.75" customHeight="1" x14ac:dyDescent="0.25">
      <c r="F63" s="2"/>
      <c r="G63" s="2"/>
    </row>
    <row r="64" spans="6:7" ht="15.75" customHeight="1" x14ac:dyDescent="0.25">
      <c r="F64" s="2"/>
      <c r="G64" s="2"/>
    </row>
    <row r="65" spans="6:7" ht="15.75" customHeight="1" x14ac:dyDescent="0.25">
      <c r="F65" s="2"/>
      <c r="G65" s="2"/>
    </row>
    <row r="66" spans="6:7" ht="15.75" customHeight="1" x14ac:dyDescent="0.25">
      <c r="F66" s="2"/>
      <c r="G66" s="2"/>
    </row>
    <row r="67" spans="6:7" ht="15.75" customHeight="1" x14ac:dyDescent="0.25">
      <c r="F67" s="2"/>
      <c r="G67" s="2"/>
    </row>
    <row r="68" spans="6:7" ht="15.75" customHeight="1" x14ac:dyDescent="0.25">
      <c r="F68" s="2"/>
      <c r="G68" s="2"/>
    </row>
    <row r="69" spans="6:7" ht="15.75" customHeight="1" x14ac:dyDescent="0.25">
      <c r="F69" s="2"/>
      <c r="G69" s="2"/>
    </row>
    <row r="70" spans="6:7" ht="15.75" customHeight="1" x14ac:dyDescent="0.25">
      <c r="F70" s="2"/>
      <c r="G70" s="2"/>
    </row>
    <row r="71" spans="6:7" ht="15.75" customHeight="1" x14ac:dyDescent="0.25">
      <c r="F71" s="2"/>
      <c r="G71" s="2"/>
    </row>
    <row r="72" spans="6:7" ht="15.75" customHeight="1" x14ac:dyDescent="0.25">
      <c r="F72" s="2"/>
      <c r="G72" s="2"/>
    </row>
    <row r="73" spans="6:7" ht="15.75" customHeight="1" x14ac:dyDescent="0.25">
      <c r="F73" s="2"/>
      <c r="G73" s="2"/>
    </row>
    <row r="74" spans="6:7" ht="15.75" customHeight="1" x14ac:dyDescent="0.25">
      <c r="F74" s="2"/>
      <c r="G74" s="2"/>
    </row>
    <row r="75" spans="6:7" ht="15.75" customHeight="1" x14ac:dyDescent="0.25">
      <c r="F75" s="2"/>
      <c r="G75" s="2"/>
    </row>
    <row r="76" spans="6:7" ht="15.75" customHeight="1" x14ac:dyDescent="0.25">
      <c r="F76" s="2"/>
      <c r="G76" s="2"/>
    </row>
    <row r="77" spans="6:7" ht="15.75" customHeight="1" x14ac:dyDescent="0.25">
      <c r="F77" s="2"/>
      <c r="G77" s="2"/>
    </row>
    <row r="78" spans="6:7" ht="15.75" customHeight="1" x14ac:dyDescent="0.25">
      <c r="F78" s="2"/>
      <c r="G78" s="2"/>
    </row>
    <row r="79" spans="6:7" ht="15.75" customHeight="1" x14ac:dyDescent="0.25">
      <c r="F79" s="2"/>
      <c r="G79" s="2"/>
    </row>
    <row r="80" spans="6:7" ht="15.75" customHeight="1" x14ac:dyDescent="0.25">
      <c r="F80" s="2"/>
      <c r="G80" s="2"/>
    </row>
    <row r="81" spans="6:7" ht="15.75" customHeight="1" x14ac:dyDescent="0.25">
      <c r="F81" s="2"/>
      <c r="G81" s="2"/>
    </row>
    <row r="82" spans="6:7" ht="15.75" customHeight="1" x14ac:dyDescent="0.25">
      <c r="F82" s="2"/>
      <c r="G82" s="2"/>
    </row>
    <row r="83" spans="6:7" ht="15.75" customHeight="1" x14ac:dyDescent="0.25">
      <c r="F83" s="2"/>
      <c r="G83" s="2"/>
    </row>
    <row r="84" spans="6:7" ht="15.75" customHeight="1" x14ac:dyDescent="0.25">
      <c r="F84" s="2"/>
      <c r="G84" s="2"/>
    </row>
    <row r="85" spans="6:7" ht="15.75" customHeight="1" x14ac:dyDescent="0.25">
      <c r="F85" s="2"/>
      <c r="G85" s="2"/>
    </row>
    <row r="86" spans="6:7" ht="15.75" customHeight="1" x14ac:dyDescent="0.25">
      <c r="F86" s="2"/>
      <c r="G86" s="2"/>
    </row>
    <row r="87" spans="6:7" ht="15.75" customHeight="1" x14ac:dyDescent="0.25">
      <c r="F87" s="2"/>
      <c r="G87" s="2"/>
    </row>
    <row r="88" spans="6:7" ht="15.75" customHeight="1" x14ac:dyDescent="0.25">
      <c r="F88" s="2"/>
      <c r="G88" s="2"/>
    </row>
    <row r="89" spans="6:7" ht="15.75" customHeight="1" x14ac:dyDescent="0.25">
      <c r="F89" s="2"/>
      <c r="G89" s="2"/>
    </row>
    <row r="90" spans="6:7" ht="15.75" customHeight="1" x14ac:dyDescent="0.25">
      <c r="F90" s="2"/>
      <c r="G90" s="2"/>
    </row>
    <row r="91" spans="6:7" ht="15.75" customHeight="1" x14ac:dyDescent="0.25">
      <c r="F91" s="2"/>
      <c r="G91" s="2"/>
    </row>
    <row r="92" spans="6:7" ht="15.75" customHeight="1" x14ac:dyDescent="0.25">
      <c r="F92" s="2"/>
      <c r="G92" s="2"/>
    </row>
    <row r="93" spans="6:7" ht="15.75" customHeight="1" x14ac:dyDescent="0.25">
      <c r="F93" s="2"/>
      <c r="G93" s="2"/>
    </row>
    <row r="94" spans="6:7" ht="15.75" customHeight="1" x14ac:dyDescent="0.25">
      <c r="F94" s="2"/>
      <c r="G94" s="2"/>
    </row>
    <row r="95" spans="6:7" ht="15.75" customHeight="1" x14ac:dyDescent="0.25">
      <c r="F95" s="2"/>
      <c r="G95" s="2"/>
    </row>
    <row r="96" spans="6:7" ht="15.75" customHeight="1" x14ac:dyDescent="0.25">
      <c r="F96" s="2"/>
      <c r="G96" s="2"/>
    </row>
    <row r="97" spans="6:7" ht="15.75" customHeight="1" x14ac:dyDescent="0.25">
      <c r="F97" s="2"/>
      <c r="G97" s="2"/>
    </row>
    <row r="98" spans="6:7" ht="15.75" customHeight="1" x14ac:dyDescent="0.25">
      <c r="F98" s="2"/>
      <c r="G98" s="2"/>
    </row>
    <row r="99" spans="6:7" ht="15.75" customHeight="1" x14ac:dyDescent="0.25">
      <c r="F99" s="2"/>
      <c r="G99" s="2"/>
    </row>
    <row r="100" spans="6:7" ht="15.75" customHeight="1" x14ac:dyDescent="0.25">
      <c r="F100" s="2"/>
      <c r="G100" s="2"/>
    </row>
    <row r="101" spans="6:7" ht="15.75" customHeight="1" x14ac:dyDescent="0.25">
      <c r="F101" s="2"/>
      <c r="G101" s="2"/>
    </row>
    <row r="102" spans="6:7" ht="15.75" customHeight="1" x14ac:dyDescent="0.25">
      <c r="F102" s="2"/>
      <c r="G102" s="2"/>
    </row>
    <row r="103" spans="6:7" ht="15.75" customHeight="1" x14ac:dyDescent="0.25">
      <c r="F103" s="2"/>
      <c r="G103" s="2"/>
    </row>
    <row r="104" spans="6:7" ht="15.75" customHeight="1" x14ac:dyDescent="0.25">
      <c r="F104" s="2"/>
      <c r="G104" s="2"/>
    </row>
    <row r="105" spans="6:7" ht="15.75" customHeight="1" x14ac:dyDescent="0.25">
      <c r="F105" s="2"/>
      <c r="G105" s="2"/>
    </row>
    <row r="106" spans="6:7" ht="15.75" customHeight="1" x14ac:dyDescent="0.25">
      <c r="F106" s="2"/>
      <c r="G106" s="2"/>
    </row>
    <row r="107" spans="6:7" ht="15.75" customHeight="1" x14ac:dyDescent="0.25">
      <c r="F107" s="2"/>
      <c r="G107" s="2"/>
    </row>
    <row r="108" spans="6:7" ht="15.75" customHeight="1" x14ac:dyDescent="0.25">
      <c r="F108" s="2"/>
      <c r="G108" s="2"/>
    </row>
    <row r="109" spans="6:7" ht="15.75" customHeight="1" x14ac:dyDescent="0.25">
      <c r="F109" s="2"/>
      <c r="G109" s="2"/>
    </row>
    <row r="110" spans="6:7" ht="15.75" customHeight="1" x14ac:dyDescent="0.25">
      <c r="F110" s="2"/>
      <c r="G110" s="2"/>
    </row>
    <row r="111" spans="6:7" ht="15.75" customHeight="1" x14ac:dyDescent="0.25">
      <c r="F111" s="2"/>
      <c r="G111" s="2"/>
    </row>
    <row r="112" spans="6:7" ht="15.75" customHeight="1" x14ac:dyDescent="0.25">
      <c r="F112" s="2"/>
      <c r="G112" s="2"/>
    </row>
    <row r="113" spans="6:7" ht="15.75" customHeight="1" x14ac:dyDescent="0.25">
      <c r="F113" s="2"/>
      <c r="G113" s="2"/>
    </row>
    <row r="114" spans="6:7" ht="15.75" customHeight="1" x14ac:dyDescent="0.25">
      <c r="F114" s="2"/>
      <c r="G114" s="2"/>
    </row>
    <row r="115" spans="6:7" ht="15.75" customHeight="1" x14ac:dyDescent="0.25">
      <c r="F115" s="2"/>
      <c r="G115" s="2"/>
    </row>
    <row r="116" spans="6:7" ht="15.75" customHeight="1" x14ac:dyDescent="0.25">
      <c r="F116" s="2"/>
      <c r="G116" s="2"/>
    </row>
    <row r="117" spans="6:7" ht="15.75" customHeight="1" x14ac:dyDescent="0.25">
      <c r="F117" s="2"/>
      <c r="G117" s="2"/>
    </row>
    <row r="118" spans="6:7" ht="15.75" customHeight="1" x14ac:dyDescent="0.25">
      <c r="F118" s="2"/>
      <c r="G118" s="2"/>
    </row>
    <row r="119" spans="6:7" ht="15.75" customHeight="1" x14ac:dyDescent="0.25">
      <c r="F119" s="2"/>
      <c r="G119" s="2"/>
    </row>
    <row r="120" spans="6:7" ht="15.75" customHeight="1" x14ac:dyDescent="0.25">
      <c r="F120" s="2"/>
      <c r="G120" s="2"/>
    </row>
    <row r="121" spans="6:7" ht="15.75" customHeight="1" x14ac:dyDescent="0.25">
      <c r="F121" s="2"/>
      <c r="G121" s="2"/>
    </row>
    <row r="122" spans="6:7" ht="15.75" customHeight="1" x14ac:dyDescent="0.25">
      <c r="F122" s="2"/>
      <c r="G122" s="2"/>
    </row>
    <row r="123" spans="6:7" ht="15.75" customHeight="1" x14ac:dyDescent="0.25">
      <c r="F123" s="2"/>
      <c r="G123" s="2"/>
    </row>
    <row r="124" spans="6:7" ht="15.75" customHeight="1" x14ac:dyDescent="0.25">
      <c r="F124" s="2"/>
      <c r="G124" s="2"/>
    </row>
    <row r="125" spans="6:7" ht="15.75" customHeight="1" x14ac:dyDescent="0.25">
      <c r="F125" s="2"/>
      <c r="G125" s="2"/>
    </row>
    <row r="126" spans="6:7" ht="15.75" customHeight="1" x14ac:dyDescent="0.25">
      <c r="F126" s="2"/>
      <c r="G126" s="2"/>
    </row>
    <row r="127" spans="6:7" ht="15.75" customHeight="1" x14ac:dyDescent="0.25">
      <c r="F127" s="2"/>
      <c r="G127" s="2"/>
    </row>
    <row r="128" spans="6:7" ht="15.75" customHeight="1" x14ac:dyDescent="0.25">
      <c r="F128" s="2"/>
      <c r="G128" s="2"/>
    </row>
    <row r="129" spans="6:7" ht="15.75" customHeight="1" x14ac:dyDescent="0.25">
      <c r="F129" s="2"/>
      <c r="G129" s="2"/>
    </row>
    <row r="130" spans="6:7" ht="15.75" customHeight="1" x14ac:dyDescent="0.25">
      <c r="F130" s="2"/>
      <c r="G130" s="2"/>
    </row>
    <row r="131" spans="6:7" ht="15.75" customHeight="1" x14ac:dyDescent="0.25">
      <c r="F131" s="2"/>
      <c r="G131" s="2"/>
    </row>
    <row r="132" spans="6:7" ht="15.75" customHeight="1" x14ac:dyDescent="0.25">
      <c r="F132" s="2"/>
      <c r="G132" s="2"/>
    </row>
    <row r="133" spans="6:7" ht="15.75" customHeight="1" x14ac:dyDescent="0.25">
      <c r="F133" s="2"/>
      <c r="G133" s="2"/>
    </row>
    <row r="134" spans="6:7" ht="15.75" customHeight="1" x14ac:dyDescent="0.25">
      <c r="F134" s="2"/>
      <c r="G134" s="2"/>
    </row>
    <row r="135" spans="6:7" ht="15.75" customHeight="1" x14ac:dyDescent="0.25">
      <c r="F135" s="2"/>
      <c r="G135" s="2"/>
    </row>
    <row r="136" spans="6:7" ht="15.75" customHeight="1" x14ac:dyDescent="0.25">
      <c r="F136" s="2"/>
      <c r="G136" s="2"/>
    </row>
    <row r="137" spans="6:7" ht="15.75" customHeight="1" x14ac:dyDescent="0.25">
      <c r="F137" s="2"/>
      <c r="G137" s="2"/>
    </row>
    <row r="138" spans="6:7" ht="15.75" customHeight="1" x14ac:dyDescent="0.25">
      <c r="F138" s="2"/>
      <c r="G138" s="2"/>
    </row>
    <row r="139" spans="6:7" ht="15.75" customHeight="1" x14ac:dyDescent="0.25">
      <c r="F139" s="2"/>
      <c r="G139" s="2"/>
    </row>
    <row r="140" spans="6:7" ht="15.75" customHeight="1" x14ac:dyDescent="0.25">
      <c r="F140" s="2"/>
      <c r="G140" s="2"/>
    </row>
    <row r="141" spans="6:7" ht="15.75" customHeight="1" x14ac:dyDescent="0.25">
      <c r="F141" s="2"/>
      <c r="G141" s="2"/>
    </row>
    <row r="142" spans="6:7" ht="15.75" customHeight="1" x14ac:dyDescent="0.25">
      <c r="F142" s="2"/>
      <c r="G142" s="2"/>
    </row>
    <row r="143" spans="6:7" ht="15.75" customHeight="1" x14ac:dyDescent="0.25">
      <c r="F143" s="2"/>
      <c r="G143" s="2"/>
    </row>
    <row r="144" spans="6:7" ht="15.75" customHeight="1" x14ac:dyDescent="0.25">
      <c r="F144" s="2"/>
      <c r="G144" s="2"/>
    </row>
    <row r="145" spans="6:7" ht="15.75" customHeight="1" x14ac:dyDescent="0.25">
      <c r="F145" s="2"/>
      <c r="G145" s="2"/>
    </row>
    <row r="146" spans="6:7" ht="15.75" customHeight="1" x14ac:dyDescent="0.25">
      <c r="F146" s="2"/>
      <c r="G146" s="2"/>
    </row>
    <row r="147" spans="6:7" ht="15.75" customHeight="1" x14ac:dyDescent="0.25">
      <c r="F147" s="2"/>
      <c r="G147" s="2"/>
    </row>
    <row r="148" spans="6:7" ht="15.75" customHeight="1" x14ac:dyDescent="0.25">
      <c r="F148" s="2"/>
      <c r="G148" s="2"/>
    </row>
    <row r="149" spans="6:7" ht="15.75" customHeight="1" x14ac:dyDescent="0.25">
      <c r="F149" s="2"/>
      <c r="G149" s="2"/>
    </row>
    <row r="150" spans="6:7" ht="15.75" customHeight="1" x14ac:dyDescent="0.25">
      <c r="F150" s="2"/>
      <c r="G150" s="2"/>
    </row>
    <row r="151" spans="6:7" ht="15.75" customHeight="1" x14ac:dyDescent="0.25">
      <c r="F151" s="2"/>
      <c r="G151" s="2"/>
    </row>
    <row r="152" spans="6:7" ht="15.75" customHeight="1" x14ac:dyDescent="0.25">
      <c r="F152" s="2"/>
      <c r="G152" s="2"/>
    </row>
    <row r="153" spans="6:7" ht="15.75" customHeight="1" x14ac:dyDescent="0.25">
      <c r="F153" s="2"/>
      <c r="G153" s="2"/>
    </row>
    <row r="154" spans="6:7" ht="15.75" customHeight="1" x14ac:dyDescent="0.25">
      <c r="F154" s="2"/>
      <c r="G154" s="2"/>
    </row>
    <row r="155" spans="6:7" ht="15.75" customHeight="1" x14ac:dyDescent="0.25">
      <c r="F155" s="2"/>
      <c r="G155" s="2"/>
    </row>
    <row r="156" spans="6:7" ht="15.75" customHeight="1" x14ac:dyDescent="0.25">
      <c r="F156" s="2"/>
      <c r="G156" s="2"/>
    </row>
    <row r="157" spans="6:7" ht="15.75" customHeight="1" x14ac:dyDescent="0.25">
      <c r="F157" s="2"/>
      <c r="G157" s="2"/>
    </row>
    <row r="158" spans="6:7" ht="15.75" customHeight="1" x14ac:dyDescent="0.25">
      <c r="F158" s="2"/>
      <c r="G158" s="2"/>
    </row>
    <row r="159" spans="6:7" ht="15.75" customHeight="1" x14ac:dyDescent="0.25">
      <c r="F159" s="2"/>
      <c r="G159" s="2"/>
    </row>
    <row r="160" spans="6:7" ht="15.75" customHeight="1" x14ac:dyDescent="0.25">
      <c r="F160" s="2"/>
      <c r="G160" s="2"/>
    </row>
    <row r="161" spans="6:7" ht="15.75" customHeight="1" x14ac:dyDescent="0.25">
      <c r="F161" s="2"/>
      <c r="G161" s="2"/>
    </row>
    <row r="162" spans="6:7" ht="15.75" customHeight="1" x14ac:dyDescent="0.25">
      <c r="F162" s="2"/>
      <c r="G162" s="2"/>
    </row>
    <row r="163" spans="6:7" ht="15.75" customHeight="1" x14ac:dyDescent="0.25">
      <c r="F163" s="2"/>
      <c r="G163" s="2"/>
    </row>
    <row r="164" spans="6:7" ht="15.75" customHeight="1" x14ac:dyDescent="0.25">
      <c r="F164" s="2"/>
      <c r="G164" s="2"/>
    </row>
    <row r="165" spans="6:7" ht="15.75" customHeight="1" x14ac:dyDescent="0.25">
      <c r="F165" s="2"/>
      <c r="G165" s="2"/>
    </row>
    <row r="166" spans="6:7" ht="15.75" customHeight="1" x14ac:dyDescent="0.25">
      <c r="F166" s="2"/>
      <c r="G166" s="2"/>
    </row>
    <row r="167" spans="6:7" ht="15.75" customHeight="1" x14ac:dyDescent="0.25">
      <c r="F167" s="2"/>
      <c r="G167" s="2"/>
    </row>
    <row r="168" spans="6:7" ht="15.75" customHeight="1" x14ac:dyDescent="0.25">
      <c r="F168" s="2"/>
      <c r="G168" s="2"/>
    </row>
    <row r="169" spans="6:7" ht="15.75" customHeight="1" x14ac:dyDescent="0.25">
      <c r="F169" s="2"/>
      <c r="G169" s="2"/>
    </row>
    <row r="170" spans="6:7" ht="15.75" customHeight="1" x14ac:dyDescent="0.25">
      <c r="F170" s="2"/>
      <c r="G170" s="2"/>
    </row>
    <row r="171" spans="6:7" ht="15.75" customHeight="1" x14ac:dyDescent="0.25">
      <c r="F171" s="2"/>
      <c r="G171" s="2"/>
    </row>
    <row r="172" spans="6:7" ht="15.75" customHeight="1" x14ac:dyDescent="0.25">
      <c r="F172" s="2"/>
      <c r="G172" s="2"/>
    </row>
    <row r="173" spans="6:7" ht="15.75" customHeight="1" x14ac:dyDescent="0.25">
      <c r="F173" s="2"/>
      <c r="G173" s="2"/>
    </row>
    <row r="174" spans="6:7" ht="15.75" customHeight="1" x14ac:dyDescent="0.25">
      <c r="F174" s="2"/>
      <c r="G174" s="2"/>
    </row>
    <row r="175" spans="6:7" ht="15.75" customHeight="1" x14ac:dyDescent="0.25">
      <c r="F175" s="2"/>
      <c r="G175" s="2"/>
    </row>
    <row r="176" spans="6:7" ht="15.75" customHeight="1" x14ac:dyDescent="0.25">
      <c r="F176" s="2"/>
      <c r="G176" s="2"/>
    </row>
    <row r="177" spans="6:7" ht="15.75" customHeight="1" x14ac:dyDescent="0.25">
      <c r="F177" s="2"/>
      <c r="G177" s="2"/>
    </row>
    <row r="178" spans="6:7" ht="15.75" customHeight="1" x14ac:dyDescent="0.25">
      <c r="F178" s="2"/>
      <c r="G178" s="2"/>
    </row>
    <row r="179" spans="6:7" ht="15.75" customHeight="1" x14ac:dyDescent="0.25">
      <c r="F179" s="2"/>
      <c r="G179" s="2"/>
    </row>
    <row r="180" spans="6:7" ht="15.75" customHeight="1" x14ac:dyDescent="0.25">
      <c r="F180" s="2"/>
      <c r="G180" s="2"/>
    </row>
    <row r="181" spans="6:7" ht="15.75" customHeight="1" x14ac:dyDescent="0.25">
      <c r="F181" s="2"/>
      <c r="G181" s="2"/>
    </row>
    <row r="182" spans="6:7" ht="15.75" customHeight="1" x14ac:dyDescent="0.25">
      <c r="F182" s="2"/>
      <c r="G182" s="2"/>
    </row>
    <row r="183" spans="6:7" ht="15.75" customHeight="1" x14ac:dyDescent="0.25">
      <c r="F183" s="2"/>
      <c r="G183" s="2"/>
    </row>
    <row r="184" spans="6:7" ht="15.75" customHeight="1" x14ac:dyDescent="0.25">
      <c r="F184" s="2"/>
      <c r="G184" s="2"/>
    </row>
    <row r="185" spans="6:7" ht="15.75" customHeight="1" x14ac:dyDescent="0.25">
      <c r="F185" s="2"/>
      <c r="G185" s="2"/>
    </row>
    <row r="186" spans="6:7" ht="15.75" customHeight="1" x14ac:dyDescent="0.25">
      <c r="F186" s="2"/>
      <c r="G186" s="2"/>
    </row>
    <row r="187" spans="6:7" ht="15.75" customHeight="1" x14ac:dyDescent="0.25">
      <c r="F187" s="2"/>
      <c r="G187" s="2"/>
    </row>
    <row r="188" spans="6:7" ht="15.75" customHeight="1" x14ac:dyDescent="0.25">
      <c r="F188" s="2"/>
      <c r="G188" s="2"/>
    </row>
    <row r="189" spans="6:7" ht="15.75" customHeight="1" x14ac:dyDescent="0.25">
      <c r="F189" s="2"/>
      <c r="G189" s="2"/>
    </row>
    <row r="190" spans="6:7" ht="15.75" customHeight="1" x14ac:dyDescent="0.25">
      <c r="F190" s="2"/>
      <c r="G190" s="2"/>
    </row>
    <row r="191" spans="6:7" ht="15.75" customHeight="1" x14ac:dyDescent="0.25">
      <c r="F191" s="2"/>
      <c r="G191" s="2"/>
    </row>
    <row r="192" spans="6:7" ht="15.75" customHeight="1" x14ac:dyDescent="0.25">
      <c r="F192" s="2"/>
      <c r="G192" s="2"/>
    </row>
    <row r="193" spans="6:7" ht="15.75" customHeight="1" x14ac:dyDescent="0.25">
      <c r="F193" s="2"/>
      <c r="G193" s="2"/>
    </row>
    <row r="194" spans="6:7" ht="15.75" customHeight="1" x14ac:dyDescent="0.25">
      <c r="F194" s="2"/>
      <c r="G194" s="2"/>
    </row>
    <row r="195" spans="6:7" ht="15.75" customHeight="1" x14ac:dyDescent="0.25">
      <c r="F195" s="2"/>
      <c r="G195" s="2"/>
    </row>
    <row r="196" spans="6:7" ht="15.75" customHeight="1" x14ac:dyDescent="0.25">
      <c r="F196" s="2"/>
      <c r="G196" s="2"/>
    </row>
    <row r="197" spans="6:7" ht="15.75" customHeight="1" x14ac:dyDescent="0.25">
      <c r="F197" s="2"/>
      <c r="G197" s="2"/>
    </row>
    <row r="198" spans="6:7" ht="15.75" customHeight="1" x14ac:dyDescent="0.25">
      <c r="F198" s="2"/>
      <c r="G198" s="2"/>
    </row>
    <row r="199" spans="6:7" ht="15.75" customHeight="1" x14ac:dyDescent="0.25">
      <c r="F199" s="2"/>
      <c r="G199" s="2"/>
    </row>
    <row r="200" spans="6:7" ht="15.75" customHeight="1" x14ac:dyDescent="0.25">
      <c r="F200" s="2"/>
      <c r="G200" s="2"/>
    </row>
    <row r="201" spans="6:7" ht="15.75" customHeight="1" x14ac:dyDescent="0.25">
      <c r="F201" s="2"/>
      <c r="G201" s="2"/>
    </row>
    <row r="202" spans="6:7" ht="15.75" customHeight="1" x14ac:dyDescent="0.25">
      <c r="F202" s="2"/>
      <c r="G202" s="2"/>
    </row>
    <row r="203" spans="6:7" ht="15.75" customHeight="1" x14ac:dyDescent="0.25">
      <c r="F203" s="2"/>
      <c r="G203" s="2"/>
    </row>
    <row r="204" spans="6:7" ht="15.75" customHeight="1" x14ac:dyDescent="0.25">
      <c r="F204" s="2"/>
      <c r="G204" s="2"/>
    </row>
    <row r="205" spans="6:7" ht="15.75" customHeight="1" x14ac:dyDescent="0.25">
      <c r="F205" s="2"/>
      <c r="G205" s="2"/>
    </row>
    <row r="206" spans="6:7" ht="15.75" customHeight="1" x14ac:dyDescent="0.25">
      <c r="F206" s="2"/>
      <c r="G206" s="2"/>
    </row>
    <row r="207" spans="6:7" ht="15.75" customHeight="1" x14ac:dyDescent="0.25">
      <c r="F207" s="2"/>
      <c r="G207" s="2"/>
    </row>
    <row r="208" spans="6:7" ht="15.75" customHeight="1" x14ac:dyDescent="0.25">
      <c r="F208" s="2"/>
      <c r="G208" s="2"/>
    </row>
    <row r="209" spans="6:7" ht="15.75" customHeight="1" x14ac:dyDescent="0.25">
      <c r="F209" s="2"/>
      <c r="G209" s="2"/>
    </row>
    <row r="210" spans="6:7" ht="15.75" customHeight="1" x14ac:dyDescent="0.25">
      <c r="F210" s="2"/>
      <c r="G210" s="2"/>
    </row>
    <row r="211" spans="6:7" ht="15.75" customHeight="1" x14ac:dyDescent="0.25">
      <c r="F211" s="2"/>
      <c r="G211" s="2"/>
    </row>
    <row r="212" spans="6:7" ht="15.75" customHeight="1" x14ac:dyDescent="0.25">
      <c r="F212" s="2"/>
      <c r="G212" s="2"/>
    </row>
    <row r="213" spans="6:7" ht="15.75" customHeight="1" x14ac:dyDescent="0.25">
      <c r="F213" s="2"/>
      <c r="G213" s="2"/>
    </row>
    <row r="214" spans="6:7" ht="15.75" customHeight="1" x14ac:dyDescent="0.25">
      <c r="F214" s="2"/>
      <c r="G214" s="2"/>
    </row>
    <row r="215" spans="6:7" ht="15.75" customHeight="1" x14ac:dyDescent="0.25">
      <c r="F215" s="2"/>
      <c r="G215" s="2"/>
    </row>
    <row r="216" spans="6:7" ht="15.75" customHeight="1" x14ac:dyDescent="0.25">
      <c r="F216" s="2"/>
      <c r="G216" s="2"/>
    </row>
    <row r="217" spans="6:7" ht="15.75" customHeight="1" x14ac:dyDescent="0.25">
      <c r="F217" s="2"/>
      <c r="G217" s="2"/>
    </row>
    <row r="218" spans="6:7" ht="15.75" customHeight="1" x14ac:dyDescent="0.25">
      <c r="F218" s="2"/>
      <c r="G218" s="2"/>
    </row>
    <row r="219" spans="6:7" ht="15.75" customHeight="1" x14ac:dyDescent="0.25">
      <c r="F219" s="2"/>
      <c r="G219" s="2"/>
    </row>
    <row r="220" spans="6:7" ht="15.75" customHeight="1" x14ac:dyDescent="0.25">
      <c r="F220" s="2"/>
      <c r="G220" s="2"/>
    </row>
    <row r="221" spans="6:7" ht="15.75" customHeight="1" x14ac:dyDescent="0.25">
      <c r="F221" s="2"/>
      <c r="G221" s="2"/>
    </row>
    <row r="222" spans="6:7" ht="15.75" customHeight="1" x14ac:dyDescent="0.25">
      <c r="F222" s="2"/>
      <c r="G222" s="2"/>
    </row>
    <row r="223" spans="6:7" ht="15.75" customHeight="1" x14ac:dyDescent="0.25">
      <c r="F223" s="2"/>
      <c r="G223" s="2"/>
    </row>
    <row r="224" spans="6:7" ht="15.75" customHeight="1" x14ac:dyDescent="0.25">
      <c r="F224" s="2"/>
      <c r="G224" s="2"/>
    </row>
    <row r="225" spans="6:7" ht="15.75" customHeight="1" x14ac:dyDescent="0.25">
      <c r="F225" s="2"/>
      <c r="G225" s="2"/>
    </row>
    <row r="226" spans="6:7" ht="15.75" customHeight="1" x14ac:dyDescent="0.25">
      <c r="F226" s="2"/>
      <c r="G226" s="2"/>
    </row>
    <row r="227" spans="6:7" ht="15.75" customHeight="1" x14ac:dyDescent="0.25">
      <c r="F227" s="2"/>
      <c r="G227" s="2"/>
    </row>
    <row r="228" spans="6:7" ht="15.75" customHeight="1" x14ac:dyDescent="0.25">
      <c r="F228" s="2"/>
      <c r="G228" s="2"/>
    </row>
    <row r="229" spans="6:7" ht="15.75" customHeight="1" x14ac:dyDescent="0.25">
      <c r="F229" s="2"/>
      <c r="G229" s="2"/>
    </row>
    <row r="230" spans="6:7" ht="15.75" customHeight="1" x14ac:dyDescent="0.25">
      <c r="F230" s="2"/>
      <c r="G230" s="2"/>
    </row>
    <row r="231" spans="6:7" ht="15.75" customHeight="1" x14ac:dyDescent="0.25">
      <c r="F231" s="2"/>
      <c r="G231" s="2"/>
    </row>
    <row r="232" spans="6:7" ht="15.75" customHeight="1" x14ac:dyDescent="0.25">
      <c r="F232" s="2"/>
      <c r="G232" s="2"/>
    </row>
    <row r="233" spans="6:7" ht="15.75" customHeight="1" x14ac:dyDescent="0.25">
      <c r="F233" s="2"/>
      <c r="G233" s="2"/>
    </row>
    <row r="234" spans="6:7" ht="15.75" customHeight="1" x14ac:dyDescent="0.25">
      <c r="F234" s="2"/>
      <c r="G234" s="2"/>
    </row>
    <row r="235" spans="6:7" ht="15.75" customHeight="1" x14ac:dyDescent="0.25">
      <c r="F235" s="2"/>
      <c r="G235" s="2"/>
    </row>
    <row r="236" spans="6:7" ht="15.75" customHeight="1" x14ac:dyDescent="0.25">
      <c r="F236" s="2"/>
      <c r="G236" s="2"/>
    </row>
    <row r="237" spans="6:7" ht="15.75" customHeight="1" x14ac:dyDescent="0.25">
      <c r="F237" s="2"/>
      <c r="G237" s="2"/>
    </row>
    <row r="238" spans="6:7" ht="15.75" customHeight="1" x14ac:dyDescent="0.25">
      <c r="F238" s="2"/>
      <c r="G238" s="2"/>
    </row>
    <row r="239" spans="6:7" ht="15.75" customHeight="1" x14ac:dyDescent="0.25">
      <c r="F239" s="2"/>
      <c r="G239" s="2"/>
    </row>
    <row r="240" spans="6:7" ht="15.75" customHeight="1" x14ac:dyDescent="0.25">
      <c r="F240" s="2"/>
      <c r="G240" s="2"/>
    </row>
    <row r="241" spans="6:7" ht="15.75" customHeight="1" x14ac:dyDescent="0.25">
      <c r="F241" s="2"/>
      <c r="G241" s="2"/>
    </row>
    <row r="242" spans="6:7" ht="15.75" customHeight="1" x14ac:dyDescent="0.25">
      <c r="F242" s="2"/>
      <c r="G242" s="2"/>
    </row>
    <row r="243" spans="6:7" ht="15.75" customHeight="1" x14ac:dyDescent="0.25">
      <c r="F243" s="2"/>
      <c r="G243" s="2"/>
    </row>
    <row r="244" spans="6:7" ht="15.75" customHeight="1" x14ac:dyDescent="0.25">
      <c r="F244" s="2"/>
      <c r="G244" s="2"/>
    </row>
    <row r="245" spans="6:7" ht="15.75" customHeight="1" x14ac:dyDescent="0.25">
      <c r="F245" s="2"/>
      <c r="G245" s="2"/>
    </row>
    <row r="246" spans="6:7" ht="15.75" customHeight="1" x14ac:dyDescent="0.25">
      <c r="F246" s="2"/>
      <c r="G246" s="2"/>
    </row>
    <row r="247" spans="6:7" ht="15.75" customHeight="1" x14ac:dyDescent="0.25">
      <c r="F247" s="2"/>
      <c r="G247" s="2"/>
    </row>
    <row r="248" spans="6:7" ht="15.75" customHeight="1" x14ac:dyDescent="0.25">
      <c r="F248" s="2"/>
      <c r="G248" s="2"/>
    </row>
    <row r="249" spans="6:7" ht="15.75" customHeight="1" x14ac:dyDescent="0.25">
      <c r="F249" s="2"/>
      <c r="G249" s="2"/>
    </row>
    <row r="250" spans="6:7" ht="15.75" customHeight="1" x14ac:dyDescent="0.25">
      <c r="F250" s="2"/>
      <c r="G250" s="2"/>
    </row>
    <row r="251" spans="6:7" ht="15.75" customHeight="1" x14ac:dyDescent="0.25">
      <c r="F251" s="2"/>
      <c r="G251" s="2"/>
    </row>
    <row r="252" spans="6:7" ht="15.75" customHeight="1" x14ac:dyDescent="0.25">
      <c r="F252" s="2"/>
      <c r="G252" s="2"/>
    </row>
    <row r="253" spans="6:7" ht="15.75" customHeight="1" x14ac:dyDescent="0.25">
      <c r="F253" s="2"/>
      <c r="G253" s="2"/>
    </row>
    <row r="254" spans="6:7" ht="15.75" customHeight="1" x14ac:dyDescent="0.25">
      <c r="F254" s="2"/>
      <c r="G254" s="2"/>
    </row>
    <row r="255" spans="6:7" ht="15.75" customHeight="1" x14ac:dyDescent="0.25">
      <c r="F255" s="2"/>
      <c r="G255" s="2"/>
    </row>
    <row r="256" spans="6:7" ht="15.75" customHeight="1" x14ac:dyDescent="0.25">
      <c r="F256" s="2"/>
      <c r="G256" s="2"/>
    </row>
    <row r="257" spans="6:7" ht="15.75" customHeight="1" x14ac:dyDescent="0.25">
      <c r="F257" s="2"/>
      <c r="G257" s="2"/>
    </row>
    <row r="258" spans="6:7" ht="15.75" customHeight="1" x14ac:dyDescent="0.25">
      <c r="F258" s="2"/>
      <c r="G258" s="2"/>
    </row>
    <row r="259" spans="6:7" ht="15.75" customHeight="1" x14ac:dyDescent="0.25">
      <c r="F259" s="2"/>
      <c r="G259" s="2"/>
    </row>
    <row r="260" spans="6:7" ht="15.75" customHeight="1" x14ac:dyDescent="0.25">
      <c r="F260" s="2"/>
      <c r="G260" s="2"/>
    </row>
    <row r="261" spans="6:7" ht="15.75" customHeight="1" x14ac:dyDescent="0.25">
      <c r="F261" s="2"/>
      <c r="G261" s="2"/>
    </row>
    <row r="262" spans="6:7" ht="15.75" customHeight="1" x14ac:dyDescent="0.25">
      <c r="F262" s="2"/>
      <c r="G262" s="2"/>
    </row>
    <row r="263" spans="6:7" ht="15.75" customHeight="1" x14ac:dyDescent="0.25">
      <c r="F263" s="2"/>
      <c r="G263" s="2"/>
    </row>
    <row r="264" spans="6:7" ht="15.75" customHeight="1" x14ac:dyDescent="0.25">
      <c r="F264" s="2"/>
      <c r="G264" s="2"/>
    </row>
    <row r="265" spans="6:7" ht="15.75" customHeight="1" x14ac:dyDescent="0.25">
      <c r="F265" s="2"/>
      <c r="G265" s="2"/>
    </row>
    <row r="266" spans="6:7" ht="15.75" customHeight="1" x14ac:dyDescent="0.25">
      <c r="F266" s="2"/>
      <c r="G266" s="2"/>
    </row>
    <row r="267" spans="6:7" ht="15.75" customHeight="1" x14ac:dyDescent="0.25">
      <c r="F267" s="2"/>
      <c r="G267" s="2"/>
    </row>
    <row r="268" spans="6:7" ht="15.75" customHeight="1" x14ac:dyDescent="0.25">
      <c r="F268" s="2"/>
      <c r="G268" s="2"/>
    </row>
    <row r="269" spans="6:7" ht="15.75" customHeight="1" x14ac:dyDescent="0.25">
      <c r="F269" s="2"/>
      <c r="G269" s="2"/>
    </row>
    <row r="270" spans="6:7" ht="15.75" customHeight="1" x14ac:dyDescent="0.25">
      <c r="F270" s="2"/>
      <c r="G270" s="2"/>
    </row>
    <row r="271" spans="6:7" ht="15.75" customHeight="1" x14ac:dyDescent="0.25">
      <c r="F271" s="2"/>
      <c r="G271" s="2"/>
    </row>
    <row r="272" spans="6:7" ht="15.75" customHeight="1" x14ac:dyDescent="0.25">
      <c r="F272" s="2"/>
      <c r="G272" s="2"/>
    </row>
    <row r="273" spans="6:7" ht="15.75" customHeight="1" x14ac:dyDescent="0.25">
      <c r="F273" s="2"/>
      <c r="G273" s="2"/>
    </row>
    <row r="274" spans="6:7" ht="15.75" customHeight="1" x14ac:dyDescent="0.25">
      <c r="F274" s="2"/>
      <c r="G274" s="2"/>
    </row>
    <row r="275" spans="6:7" ht="15.75" customHeight="1" x14ac:dyDescent="0.25">
      <c r="F275" s="2"/>
      <c r="G275" s="2"/>
    </row>
    <row r="276" spans="6:7" ht="15.75" customHeight="1" x14ac:dyDescent="0.25">
      <c r="F276" s="2"/>
      <c r="G276" s="2"/>
    </row>
    <row r="277" spans="6:7" ht="15.75" customHeight="1" x14ac:dyDescent="0.25">
      <c r="F277" s="2"/>
      <c r="G277" s="2"/>
    </row>
    <row r="278" spans="6:7" ht="15.75" customHeight="1" x14ac:dyDescent="0.25">
      <c r="F278" s="2"/>
      <c r="G278" s="2"/>
    </row>
    <row r="279" spans="6:7" ht="15.75" customHeight="1" x14ac:dyDescent="0.25">
      <c r="F279" s="2"/>
      <c r="G279" s="2"/>
    </row>
    <row r="280" spans="6:7" ht="15.75" customHeight="1" x14ac:dyDescent="0.25">
      <c r="F280" s="2"/>
      <c r="G280" s="2"/>
    </row>
    <row r="281" spans="6:7" ht="15.75" customHeight="1" x14ac:dyDescent="0.25">
      <c r="F281" s="2"/>
      <c r="G281" s="2"/>
    </row>
    <row r="282" spans="6:7" ht="15.75" customHeight="1" x14ac:dyDescent="0.25">
      <c r="F282" s="2"/>
      <c r="G282" s="2"/>
    </row>
    <row r="283" spans="6:7" ht="15.75" customHeight="1" x14ac:dyDescent="0.25">
      <c r="F283" s="2"/>
      <c r="G283" s="2"/>
    </row>
    <row r="284" spans="6:7" ht="15.75" customHeight="1" x14ac:dyDescent="0.25">
      <c r="F284" s="2"/>
      <c r="G284" s="2"/>
    </row>
    <row r="285" spans="6:7" ht="15.75" customHeight="1" x14ac:dyDescent="0.25">
      <c r="F285" s="2"/>
      <c r="G285" s="2"/>
    </row>
    <row r="286" spans="6:7" ht="15.75" customHeight="1" x14ac:dyDescent="0.25">
      <c r="F286" s="2"/>
      <c r="G286" s="2"/>
    </row>
    <row r="287" spans="6:7" ht="15.75" customHeight="1" x14ac:dyDescent="0.25">
      <c r="F287" s="2"/>
      <c r="G287" s="2"/>
    </row>
    <row r="288" spans="6:7" ht="15.75" customHeight="1" x14ac:dyDescent="0.25">
      <c r="F288" s="2"/>
      <c r="G288" s="2"/>
    </row>
    <row r="289" spans="6:7" ht="15.75" customHeight="1" x14ac:dyDescent="0.25">
      <c r="F289" s="2"/>
      <c r="G289" s="2"/>
    </row>
    <row r="290" spans="6:7" ht="15.75" customHeight="1" x14ac:dyDescent="0.25">
      <c r="F290" s="2"/>
      <c r="G290" s="2"/>
    </row>
    <row r="291" spans="6:7" ht="15.75" customHeight="1" x14ac:dyDescent="0.25">
      <c r="F291" s="2"/>
      <c r="G291" s="2"/>
    </row>
    <row r="292" spans="6:7" ht="15.75" customHeight="1" x14ac:dyDescent="0.25">
      <c r="F292" s="2"/>
      <c r="G292" s="2"/>
    </row>
    <row r="293" spans="6:7" ht="15.75" customHeight="1" x14ac:dyDescent="0.25">
      <c r="F293" s="2"/>
      <c r="G293" s="2"/>
    </row>
    <row r="294" spans="6:7" ht="15.75" customHeight="1" x14ac:dyDescent="0.25">
      <c r="F294" s="2"/>
      <c r="G294" s="2"/>
    </row>
    <row r="295" spans="6:7" ht="15.75" customHeight="1" x14ac:dyDescent="0.25">
      <c r="F295" s="2"/>
      <c r="G295" s="2"/>
    </row>
    <row r="296" spans="6:7" ht="15.75" customHeight="1" x14ac:dyDescent="0.25">
      <c r="F296" s="2"/>
      <c r="G296" s="2"/>
    </row>
    <row r="297" spans="6:7" ht="15.75" customHeight="1" x14ac:dyDescent="0.25">
      <c r="F297" s="2"/>
      <c r="G297" s="2"/>
    </row>
    <row r="298" spans="6:7" ht="15.75" customHeight="1" x14ac:dyDescent="0.25">
      <c r="F298" s="2"/>
      <c r="G298" s="2"/>
    </row>
    <row r="299" spans="6:7" ht="15.75" customHeight="1" x14ac:dyDescent="0.25">
      <c r="F299" s="2"/>
      <c r="G299" s="2"/>
    </row>
    <row r="300" spans="6:7" ht="15.75" customHeight="1" x14ac:dyDescent="0.25">
      <c r="F300" s="2"/>
      <c r="G300" s="2"/>
    </row>
    <row r="301" spans="6:7" ht="15.75" customHeight="1" x14ac:dyDescent="0.25">
      <c r="F301" s="2"/>
      <c r="G301" s="2"/>
    </row>
    <row r="302" spans="6:7" ht="15.75" customHeight="1" x14ac:dyDescent="0.25">
      <c r="F302" s="2"/>
      <c r="G302" s="2"/>
    </row>
    <row r="303" spans="6:7" ht="15.75" customHeight="1" x14ac:dyDescent="0.25">
      <c r="F303" s="2"/>
      <c r="G303" s="2"/>
    </row>
    <row r="304" spans="6:7" ht="15.75" customHeight="1" x14ac:dyDescent="0.25">
      <c r="F304" s="2"/>
      <c r="G304" s="2"/>
    </row>
    <row r="305" spans="6:7" ht="15.75" customHeight="1" x14ac:dyDescent="0.25">
      <c r="F305" s="2"/>
      <c r="G305" s="2"/>
    </row>
    <row r="306" spans="6:7" ht="15.75" customHeight="1" x14ac:dyDescent="0.25">
      <c r="F306" s="2"/>
      <c r="G306" s="2"/>
    </row>
    <row r="307" spans="6:7" ht="15.75" customHeight="1" x14ac:dyDescent="0.25">
      <c r="F307" s="2"/>
      <c r="G307" s="2"/>
    </row>
    <row r="308" spans="6:7" ht="15.75" customHeight="1" x14ac:dyDescent="0.25">
      <c r="F308" s="2"/>
      <c r="G308" s="2"/>
    </row>
    <row r="309" spans="6:7" ht="15.75" customHeight="1" x14ac:dyDescent="0.25">
      <c r="F309" s="2"/>
      <c r="G309" s="2"/>
    </row>
    <row r="310" spans="6:7" ht="15.75" customHeight="1" x14ac:dyDescent="0.25">
      <c r="F310" s="2"/>
      <c r="G310" s="2"/>
    </row>
    <row r="311" spans="6:7" ht="15.75" customHeight="1" x14ac:dyDescent="0.25">
      <c r="F311" s="2"/>
      <c r="G311" s="2"/>
    </row>
    <row r="312" spans="6:7" ht="15.75" customHeight="1" x14ac:dyDescent="0.25">
      <c r="F312" s="2"/>
      <c r="G312" s="2"/>
    </row>
    <row r="313" spans="6:7" ht="15.75" customHeight="1" x14ac:dyDescent="0.25">
      <c r="F313" s="2"/>
      <c r="G313" s="2"/>
    </row>
    <row r="314" spans="6:7" ht="15.75" customHeight="1" x14ac:dyDescent="0.25">
      <c r="F314" s="2"/>
      <c r="G314" s="2"/>
    </row>
    <row r="315" spans="6:7" ht="15.75" customHeight="1" x14ac:dyDescent="0.25">
      <c r="F315" s="2"/>
      <c r="G315" s="2"/>
    </row>
    <row r="316" spans="6:7" ht="15.75" customHeight="1" x14ac:dyDescent="0.25">
      <c r="F316" s="2"/>
      <c r="G316" s="2"/>
    </row>
    <row r="317" spans="6:7" ht="15.75" customHeight="1" x14ac:dyDescent="0.25">
      <c r="F317" s="2"/>
      <c r="G317" s="2"/>
    </row>
    <row r="318" spans="6:7" ht="15.75" customHeight="1" x14ac:dyDescent="0.25">
      <c r="F318" s="2"/>
      <c r="G318" s="2"/>
    </row>
    <row r="319" spans="6:7" ht="15.75" customHeight="1" x14ac:dyDescent="0.25">
      <c r="F319" s="2"/>
      <c r="G319" s="2"/>
    </row>
    <row r="320" spans="6:7" ht="15.75" customHeight="1" x14ac:dyDescent="0.25">
      <c r="F320" s="2"/>
      <c r="G320" s="2"/>
    </row>
    <row r="321" spans="6:7" ht="15.75" customHeight="1" x14ac:dyDescent="0.25">
      <c r="F321" s="2"/>
      <c r="G321" s="2"/>
    </row>
    <row r="322" spans="6:7" ht="15.75" customHeight="1" x14ac:dyDescent="0.25">
      <c r="F322" s="2"/>
      <c r="G322" s="2"/>
    </row>
    <row r="323" spans="6:7" ht="15.75" customHeight="1" x14ac:dyDescent="0.25">
      <c r="F323" s="2"/>
      <c r="G323" s="2"/>
    </row>
    <row r="324" spans="6:7" ht="15.75" customHeight="1" x14ac:dyDescent="0.25">
      <c r="F324" s="2"/>
      <c r="G324" s="2"/>
    </row>
    <row r="325" spans="6:7" ht="15.75" customHeight="1" x14ac:dyDescent="0.25">
      <c r="F325" s="2"/>
      <c r="G325" s="2"/>
    </row>
    <row r="326" spans="6:7" ht="15.75" customHeight="1" x14ac:dyDescent="0.25">
      <c r="F326" s="2"/>
      <c r="G326" s="2"/>
    </row>
    <row r="327" spans="6:7" ht="15.75" customHeight="1" x14ac:dyDescent="0.25">
      <c r="F327" s="2"/>
      <c r="G327" s="2"/>
    </row>
    <row r="328" spans="6:7" ht="15.75" customHeight="1" x14ac:dyDescent="0.25">
      <c r="F328" s="2"/>
      <c r="G328" s="2"/>
    </row>
    <row r="329" spans="6:7" ht="15.75" customHeight="1" x14ac:dyDescent="0.25">
      <c r="F329" s="2"/>
      <c r="G329" s="2"/>
    </row>
    <row r="330" spans="6:7" ht="15.75" customHeight="1" x14ac:dyDescent="0.25">
      <c r="F330" s="2"/>
      <c r="G330" s="2"/>
    </row>
    <row r="331" spans="6:7" ht="15.75" customHeight="1" x14ac:dyDescent="0.25">
      <c r="F331" s="2"/>
      <c r="G331" s="2"/>
    </row>
    <row r="332" spans="6:7" ht="15.75" customHeight="1" x14ac:dyDescent="0.25">
      <c r="F332" s="2"/>
      <c r="G332" s="2"/>
    </row>
    <row r="333" spans="6:7" ht="15.75" customHeight="1" x14ac:dyDescent="0.25">
      <c r="F333" s="2"/>
      <c r="G333" s="2"/>
    </row>
    <row r="334" spans="6:7" ht="15.75" customHeight="1" x14ac:dyDescent="0.25">
      <c r="F334" s="2"/>
      <c r="G334" s="2"/>
    </row>
    <row r="335" spans="6:7" ht="15.75" customHeight="1" x14ac:dyDescent="0.25">
      <c r="F335" s="2"/>
      <c r="G335" s="2"/>
    </row>
    <row r="336" spans="6:7" ht="15.75" customHeight="1" x14ac:dyDescent="0.25">
      <c r="F336" s="2"/>
      <c r="G336" s="2"/>
    </row>
    <row r="337" spans="6:7" ht="15.75" customHeight="1" x14ac:dyDescent="0.25">
      <c r="F337" s="2"/>
      <c r="G337" s="2"/>
    </row>
    <row r="338" spans="6:7" ht="15.75" customHeight="1" x14ac:dyDescent="0.25">
      <c r="F338" s="2"/>
      <c r="G338" s="2"/>
    </row>
    <row r="339" spans="6:7" ht="15.75" customHeight="1" x14ac:dyDescent="0.25">
      <c r="F339" s="2"/>
      <c r="G339" s="2"/>
    </row>
    <row r="340" spans="6:7" ht="15.75" customHeight="1" x14ac:dyDescent="0.25">
      <c r="F340" s="2"/>
      <c r="G340" s="2"/>
    </row>
    <row r="341" spans="6:7" ht="15.75" customHeight="1" x14ac:dyDescent="0.25">
      <c r="F341" s="2"/>
      <c r="G341" s="2"/>
    </row>
    <row r="342" spans="6:7" ht="15.75" customHeight="1" x14ac:dyDescent="0.25">
      <c r="F342" s="2"/>
      <c r="G342" s="2"/>
    </row>
    <row r="343" spans="6:7" ht="15.75" customHeight="1" x14ac:dyDescent="0.25">
      <c r="F343" s="2"/>
      <c r="G343" s="2"/>
    </row>
    <row r="344" spans="6:7" ht="15.75" customHeight="1" x14ac:dyDescent="0.25">
      <c r="F344" s="2"/>
      <c r="G344" s="2"/>
    </row>
    <row r="345" spans="6:7" ht="15.75" customHeight="1" x14ac:dyDescent="0.25">
      <c r="F345" s="2"/>
      <c r="G345" s="2"/>
    </row>
    <row r="346" spans="6:7" ht="15.75" customHeight="1" x14ac:dyDescent="0.25">
      <c r="F346" s="2"/>
      <c r="G346" s="2"/>
    </row>
    <row r="347" spans="6:7" ht="15.75" customHeight="1" x14ac:dyDescent="0.25">
      <c r="F347" s="2"/>
      <c r="G347" s="2"/>
    </row>
    <row r="348" spans="6:7" ht="15.75" customHeight="1" x14ac:dyDescent="0.25">
      <c r="F348" s="2"/>
      <c r="G348" s="2"/>
    </row>
    <row r="349" spans="6:7" ht="15.75" customHeight="1" x14ac:dyDescent="0.25">
      <c r="F349" s="2"/>
      <c r="G349" s="2"/>
    </row>
    <row r="350" spans="6:7" ht="15.75" customHeight="1" x14ac:dyDescent="0.25">
      <c r="F350" s="2"/>
      <c r="G350" s="2"/>
    </row>
    <row r="351" spans="6:7" ht="15.75" customHeight="1" x14ac:dyDescent="0.25">
      <c r="F351" s="2"/>
      <c r="G351" s="2"/>
    </row>
    <row r="352" spans="6:7" ht="15.75" customHeight="1" x14ac:dyDescent="0.25">
      <c r="F352" s="2"/>
      <c r="G352" s="2"/>
    </row>
    <row r="353" spans="6:7" ht="15.75" customHeight="1" x14ac:dyDescent="0.25">
      <c r="F353" s="2"/>
      <c r="G353" s="2"/>
    </row>
    <row r="354" spans="6:7" ht="15.75" customHeight="1" x14ac:dyDescent="0.25">
      <c r="F354" s="2"/>
      <c r="G354" s="2"/>
    </row>
    <row r="355" spans="6:7" ht="15.75" customHeight="1" x14ac:dyDescent="0.25">
      <c r="F355" s="2"/>
      <c r="G355" s="2"/>
    </row>
    <row r="356" spans="6:7" ht="15.75" customHeight="1" x14ac:dyDescent="0.25">
      <c r="F356" s="2"/>
      <c r="G356" s="2"/>
    </row>
    <row r="357" spans="6:7" ht="15.75" customHeight="1" x14ac:dyDescent="0.25">
      <c r="F357" s="2"/>
      <c r="G357" s="2"/>
    </row>
    <row r="358" spans="6:7" ht="15.75" customHeight="1" x14ac:dyDescent="0.25">
      <c r="F358" s="2"/>
      <c r="G358" s="2"/>
    </row>
    <row r="359" spans="6:7" ht="15.75" customHeight="1" x14ac:dyDescent="0.25">
      <c r="F359" s="2"/>
      <c r="G359" s="2"/>
    </row>
    <row r="360" spans="6:7" ht="15.75" customHeight="1" x14ac:dyDescent="0.25">
      <c r="F360" s="2"/>
      <c r="G360" s="2"/>
    </row>
    <row r="361" spans="6:7" ht="15.75" customHeight="1" x14ac:dyDescent="0.25">
      <c r="F361" s="2"/>
      <c r="G361" s="2"/>
    </row>
    <row r="362" spans="6:7" ht="15.75" customHeight="1" x14ac:dyDescent="0.25">
      <c r="F362" s="2"/>
      <c r="G362" s="2"/>
    </row>
    <row r="363" spans="6:7" ht="15.75" customHeight="1" x14ac:dyDescent="0.25">
      <c r="F363" s="2"/>
      <c r="G363" s="2"/>
    </row>
    <row r="364" spans="6:7" ht="15.75" customHeight="1" x14ac:dyDescent="0.25">
      <c r="F364" s="2"/>
      <c r="G364" s="2"/>
    </row>
    <row r="365" spans="6:7" ht="15.75" customHeight="1" x14ac:dyDescent="0.25">
      <c r="F365" s="2"/>
      <c r="G365" s="2"/>
    </row>
    <row r="366" spans="6:7" ht="15.75" customHeight="1" x14ac:dyDescent="0.25">
      <c r="F366" s="2"/>
      <c r="G366" s="2"/>
    </row>
    <row r="367" spans="6:7" ht="15.75" customHeight="1" x14ac:dyDescent="0.25">
      <c r="F367" s="2"/>
      <c r="G367" s="2"/>
    </row>
    <row r="368" spans="6:7" ht="15.75" customHeight="1" x14ac:dyDescent="0.25">
      <c r="F368" s="2"/>
      <c r="G368" s="2"/>
    </row>
    <row r="369" spans="6:7" ht="15.75" customHeight="1" x14ac:dyDescent="0.25">
      <c r="F369" s="2"/>
      <c r="G369" s="2"/>
    </row>
    <row r="370" spans="6:7" ht="15.75" customHeight="1" x14ac:dyDescent="0.25">
      <c r="F370" s="2"/>
      <c r="G370" s="2"/>
    </row>
    <row r="371" spans="6:7" ht="15.75" customHeight="1" x14ac:dyDescent="0.25">
      <c r="F371" s="2"/>
      <c r="G371" s="2"/>
    </row>
    <row r="372" spans="6:7" ht="15.75" customHeight="1" x14ac:dyDescent="0.25">
      <c r="F372" s="2"/>
      <c r="G372" s="2"/>
    </row>
    <row r="373" spans="6:7" ht="15.75" customHeight="1" x14ac:dyDescent="0.25">
      <c r="F373" s="2"/>
      <c r="G373" s="2"/>
    </row>
    <row r="374" spans="6:7" ht="15.75" customHeight="1" x14ac:dyDescent="0.25">
      <c r="F374" s="2"/>
      <c r="G374" s="2"/>
    </row>
    <row r="375" spans="6:7" ht="15.75" customHeight="1" x14ac:dyDescent="0.25">
      <c r="F375" s="2"/>
      <c r="G375" s="2"/>
    </row>
    <row r="376" spans="6:7" ht="15.75" customHeight="1" x14ac:dyDescent="0.25">
      <c r="F376" s="2"/>
      <c r="G376" s="2"/>
    </row>
    <row r="377" spans="6:7" ht="15.75" customHeight="1" x14ac:dyDescent="0.25">
      <c r="F377" s="2"/>
      <c r="G377" s="2"/>
    </row>
    <row r="378" spans="6:7" ht="15.75" customHeight="1" x14ac:dyDescent="0.25">
      <c r="F378" s="2"/>
      <c r="G378" s="2"/>
    </row>
    <row r="379" spans="6:7" ht="15.75" customHeight="1" x14ac:dyDescent="0.25">
      <c r="F379" s="2"/>
      <c r="G379" s="2"/>
    </row>
    <row r="380" spans="6:7" ht="15.75" customHeight="1" x14ac:dyDescent="0.25">
      <c r="F380" s="2"/>
      <c r="G380" s="2"/>
    </row>
    <row r="381" spans="6:7" ht="15.75" customHeight="1" x14ac:dyDescent="0.25">
      <c r="F381" s="2"/>
      <c r="G381" s="2"/>
    </row>
    <row r="382" spans="6:7" ht="15.75" customHeight="1" x14ac:dyDescent="0.25">
      <c r="F382" s="2"/>
      <c r="G382" s="2"/>
    </row>
    <row r="383" spans="6:7" ht="15.75" customHeight="1" x14ac:dyDescent="0.25">
      <c r="F383" s="2"/>
      <c r="G383" s="2"/>
    </row>
    <row r="384" spans="6:7" ht="15.75" customHeight="1" x14ac:dyDescent="0.25">
      <c r="F384" s="2"/>
      <c r="G384" s="2"/>
    </row>
    <row r="385" spans="6:7" ht="15.75" customHeight="1" x14ac:dyDescent="0.25">
      <c r="F385" s="2"/>
      <c r="G385" s="2"/>
    </row>
    <row r="386" spans="6:7" ht="15.75" customHeight="1" x14ac:dyDescent="0.25">
      <c r="F386" s="2"/>
      <c r="G386" s="2"/>
    </row>
    <row r="387" spans="6:7" ht="15.75" customHeight="1" x14ac:dyDescent="0.25">
      <c r="F387" s="2"/>
      <c r="G387" s="2"/>
    </row>
    <row r="388" spans="6:7" ht="15.75" customHeight="1" x14ac:dyDescent="0.25">
      <c r="F388" s="2"/>
      <c r="G388" s="2"/>
    </row>
    <row r="389" spans="6:7" ht="15.75" customHeight="1" x14ac:dyDescent="0.25">
      <c r="F389" s="2"/>
      <c r="G389" s="2"/>
    </row>
    <row r="390" spans="6:7" ht="15.75" customHeight="1" x14ac:dyDescent="0.25">
      <c r="F390" s="2"/>
      <c r="G390" s="2"/>
    </row>
    <row r="391" spans="6:7" ht="15.75" customHeight="1" x14ac:dyDescent="0.25">
      <c r="F391" s="2"/>
      <c r="G391" s="2"/>
    </row>
    <row r="392" spans="6:7" ht="15.75" customHeight="1" x14ac:dyDescent="0.25">
      <c r="F392" s="2"/>
      <c r="G392" s="2"/>
    </row>
    <row r="393" spans="6:7" ht="15.75" customHeight="1" x14ac:dyDescent="0.25">
      <c r="F393" s="2"/>
      <c r="G393" s="2"/>
    </row>
    <row r="394" spans="6:7" ht="15.75" customHeight="1" x14ac:dyDescent="0.25">
      <c r="F394" s="2"/>
      <c r="G394" s="2"/>
    </row>
    <row r="395" spans="6:7" ht="15.75" customHeight="1" x14ac:dyDescent="0.25">
      <c r="F395" s="2"/>
      <c r="G395" s="2"/>
    </row>
    <row r="396" spans="6:7" ht="15.75" customHeight="1" x14ac:dyDescent="0.25">
      <c r="F396" s="2"/>
      <c r="G396" s="2"/>
    </row>
    <row r="397" spans="6:7" ht="15.75" customHeight="1" x14ac:dyDescent="0.25">
      <c r="F397" s="2"/>
      <c r="G397" s="2"/>
    </row>
    <row r="398" spans="6:7" ht="15.75" customHeight="1" x14ac:dyDescent="0.25">
      <c r="F398" s="2"/>
      <c r="G398" s="2"/>
    </row>
    <row r="399" spans="6:7" ht="15.75" customHeight="1" x14ac:dyDescent="0.25">
      <c r="F399" s="2"/>
      <c r="G399" s="2"/>
    </row>
    <row r="400" spans="6:7" ht="15.75" customHeight="1" x14ac:dyDescent="0.25">
      <c r="F400" s="2"/>
      <c r="G400" s="2"/>
    </row>
    <row r="401" spans="6:7" ht="15.75" customHeight="1" x14ac:dyDescent="0.25">
      <c r="F401" s="2"/>
      <c r="G401" s="2"/>
    </row>
    <row r="402" spans="6:7" ht="15.75" customHeight="1" x14ac:dyDescent="0.25">
      <c r="F402" s="2"/>
      <c r="G402" s="2"/>
    </row>
    <row r="403" spans="6:7" ht="15.75" customHeight="1" x14ac:dyDescent="0.25">
      <c r="F403" s="2"/>
      <c r="G403" s="2"/>
    </row>
    <row r="404" spans="6:7" ht="15.75" customHeight="1" x14ac:dyDescent="0.25">
      <c r="F404" s="2"/>
      <c r="G404" s="2"/>
    </row>
    <row r="405" spans="6:7" ht="15.75" customHeight="1" x14ac:dyDescent="0.25">
      <c r="F405" s="2"/>
      <c r="G405" s="2"/>
    </row>
    <row r="406" spans="6:7" ht="15.75" customHeight="1" x14ac:dyDescent="0.25">
      <c r="F406" s="2"/>
      <c r="G406" s="2"/>
    </row>
    <row r="407" spans="6:7" ht="15.75" customHeight="1" x14ac:dyDescent="0.25">
      <c r="F407" s="2"/>
      <c r="G407" s="2"/>
    </row>
    <row r="408" spans="6:7" ht="15.75" customHeight="1" x14ac:dyDescent="0.25">
      <c r="F408" s="2"/>
      <c r="G408" s="2"/>
    </row>
    <row r="409" spans="6:7" ht="15.75" customHeight="1" x14ac:dyDescent="0.25">
      <c r="F409" s="2"/>
      <c r="G409" s="2"/>
    </row>
    <row r="410" spans="6:7" ht="15.75" customHeight="1" x14ac:dyDescent="0.25">
      <c r="F410" s="2"/>
      <c r="G410" s="2"/>
    </row>
    <row r="411" spans="6:7" ht="15.75" customHeight="1" x14ac:dyDescent="0.25">
      <c r="F411" s="2"/>
      <c r="G411" s="2"/>
    </row>
    <row r="412" spans="6:7" ht="15.75" customHeight="1" x14ac:dyDescent="0.25">
      <c r="F412" s="2"/>
      <c r="G412" s="2"/>
    </row>
    <row r="413" spans="6:7" ht="15.75" customHeight="1" x14ac:dyDescent="0.25">
      <c r="F413" s="2"/>
      <c r="G413" s="2"/>
    </row>
    <row r="414" spans="6:7" ht="15.75" customHeight="1" x14ac:dyDescent="0.25">
      <c r="F414" s="2"/>
      <c r="G414" s="2"/>
    </row>
    <row r="415" spans="6:7" ht="15.75" customHeight="1" x14ac:dyDescent="0.25">
      <c r="F415" s="2"/>
      <c r="G415" s="2"/>
    </row>
    <row r="416" spans="6:7" ht="15.75" customHeight="1" x14ac:dyDescent="0.25">
      <c r="F416" s="2"/>
      <c r="G416" s="2"/>
    </row>
    <row r="417" spans="6:7" ht="15.75" customHeight="1" x14ac:dyDescent="0.25">
      <c r="F417" s="2"/>
      <c r="G417" s="2"/>
    </row>
    <row r="418" spans="6:7" ht="15.75" customHeight="1" x14ac:dyDescent="0.25">
      <c r="F418" s="2"/>
      <c r="G418" s="2"/>
    </row>
    <row r="419" spans="6:7" ht="15.75" customHeight="1" x14ac:dyDescent="0.25">
      <c r="F419" s="2"/>
      <c r="G419" s="2"/>
    </row>
    <row r="420" spans="6:7" ht="15.75" customHeight="1" x14ac:dyDescent="0.25">
      <c r="F420" s="2"/>
      <c r="G420" s="2"/>
    </row>
    <row r="421" spans="6:7" ht="15.75" customHeight="1" x14ac:dyDescent="0.25">
      <c r="F421" s="2"/>
      <c r="G421" s="2"/>
    </row>
    <row r="422" spans="6:7" ht="15.75" customHeight="1" x14ac:dyDescent="0.25">
      <c r="F422" s="2"/>
      <c r="G422" s="2"/>
    </row>
    <row r="423" spans="6:7" ht="15.75" customHeight="1" x14ac:dyDescent="0.25">
      <c r="F423" s="2"/>
      <c r="G423" s="2"/>
    </row>
    <row r="424" spans="6:7" ht="15.75" customHeight="1" x14ac:dyDescent="0.25">
      <c r="F424" s="2"/>
      <c r="G424" s="2"/>
    </row>
    <row r="425" spans="6:7" ht="15.75" customHeight="1" x14ac:dyDescent="0.25">
      <c r="F425" s="2"/>
      <c r="G425" s="2"/>
    </row>
    <row r="426" spans="6:7" ht="15.75" customHeight="1" x14ac:dyDescent="0.25">
      <c r="F426" s="2"/>
      <c r="G426" s="2"/>
    </row>
    <row r="427" spans="6:7" ht="15.75" customHeight="1" x14ac:dyDescent="0.25">
      <c r="F427" s="2"/>
      <c r="G427" s="2"/>
    </row>
    <row r="428" spans="6:7" ht="15.75" customHeight="1" x14ac:dyDescent="0.25">
      <c r="F428" s="2"/>
      <c r="G428" s="2"/>
    </row>
    <row r="429" spans="6:7" ht="15.75" customHeight="1" x14ac:dyDescent="0.25">
      <c r="F429" s="2"/>
      <c r="G429" s="2"/>
    </row>
    <row r="430" spans="6:7" ht="15.75" customHeight="1" x14ac:dyDescent="0.25">
      <c r="F430" s="2"/>
      <c r="G430" s="2"/>
    </row>
    <row r="431" spans="6:7" ht="15.75" customHeight="1" x14ac:dyDescent="0.25">
      <c r="F431" s="2"/>
      <c r="G431" s="2"/>
    </row>
    <row r="432" spans="6:7" ht="15.75" customHeight="1" x14ac:dyDescent="0.25">
      <c r="F432" s="2"/>
      <c r="G432" s="2"/>
    </row>
    <row r="433" spans="6:7" ht="15.75" customHeight="1" x14ac:dyDescent="0.25">
      <c r="F433" s="2"/>
      <c r="G433" s="2"/>
    </row>
    <row r="434" spans="6:7" ht="15.75" customHeight="1" x14ac:dyDescent="0.25">
      <c r="F434" s="2"/>
      <c r="G434" s="2"/>
    </row>
    <row r="435" spans="6:7" ht="15.75" customHeight="1" x14ac:dyDescent="0.25">
      <c r="F435" s="2"/>
      <c r="G435" s="2"/>
    </row>
    <row r="436" spans="6:7" ht="15.75" customHeight="1" x14ac:dyDescent="0.25">
      <c r="F436" s="2"/>
      <c r="G436" s="2"/>
    </row>
    <row r="437" spans="6:7" ht="15.75" customHeight="1" x14ac:dyDescent="0.25">
      <c r="F437" s="2"/>
      <c r="G437" s="2"/>
    </row>
    <row r="438" spans="6:7" ht="15.75" customHeight="1" x14ac:dyDescent="0.25">
      <c r="F438" s="2"/>
      <c r="G438" s="2"/>
    </row>
    <row r="439" spans="6:7" ht="15.75" customHeight="1" x14ac:dyDescent="0.25">
      <c r="F439" s="2"/>
      <c r="G439" s="2"/>
    </row>
    <row r="440" spans="6:7" ht="15.75" customHeight="1" x14ac:dyDescent="0.25">
      <c r="F440" s="2"/>
      <c r="G440" s="2"/>
    </row>
    <row r="441" spans="6:7" ht="15.75" customHeight="1" x14ac:dyDescent="0.25">
      <c r="F441" s="2"/>
      <c r="G441" s="2"/>
    </row>
    <row r="442" spans="6:7" ht="15.75" customHeight="1" x14ac:dyDescent="0.25">
      <c r="F442" s="2"/>
      <c r="G442" s="2"/>
    </row>
    <row r="443" spans="6:7" ht="15.75" customHeight="1" x14ac:dyDescent="0.25">
      <c r="F443" s="2"/>
      <c r="G443" s="2"/>
    </row>
    <row r="444" spans="6:7" ht="15.75" customHeight="1" x14ac:dyDescent="0.25">
      <c r="F444" s="2"/>
      <c r="G444" s="2"/>
    </row>
    <row r="445" spans="6:7" ht="15.75" customHeight="1" x14ac:dyDescent="0.25">
      <c r="F445" s="2"/>
      <c r="G445" s="2"/>
    </row>
    <row r="446" spans="6:7" ht="15.75" customHeight="1" x14ac:dyDescent="0.25">
      <c r="F446" s="2"/>
      <c r="G446" s="2"/>
    </row>
    <row r="447" spans="6:7" ht="15.75" customHeight="1" x14ac:dyDescent="0.25">
      <c r="F447" s="2"/>
      <c r="G447" s="2"/>
    </row>
    <row r="448" spans="6:7" ht="15.75" customHeight="1" x14ac:dyDescent="0.25">
      <c r="F448" s="2"/>
      <c r="G448" s="2"/>
    </row>
    <row r="449" spans="6:7" ht="15.75" customHeight="1" x14ac:dyDescent="0.25">
      <c r="F449" s="2"/>
      <c r="G449" s="2"/>
    </row>
    <row r="450" spans="6:7" ht="15.75" customHeight="1" x14ac:dyDescent="0.25">
      <c r="F450" s="2"/>
      <c r="G450" s="2"/>
    </row>
    <row r="451" spans="6:7" ht="15.75" customHeight="1" x14ac:dyDescent="0.25">
      <c r="F451" s="2"/>
      <c r="G451" s="2"/>
    </row>
    <row r="452" spans="6:7" ht="15.75" customHeight="1" x14ac:dyDescent="0.25">
      <c r="F452" s="2"/>
      <c r="G452" s="2"/>
    </row>
    <row r="453" spans="6:7" ht="15.75" customHeight="1" x14ac:dyDescent="0.25">
      <c r="F453" s="2"/>
      <c r="G453" s="2"/>
    </row>
    <row r="454" spans="6:7" ht="15.75" customHeight="1" x14ac:dyDescent="0.25">
      <c r="F454" s="2"/>
      <c r="G454" s="2"/>
    </row>
    <row r="455" spans="6:7" ht="15.75" customHeight="1" x14ac:dyDescent="0.25">
      <c r="F455" s="2"/>
      <c r="G455" s="2"/>
    </row>
    <row r="456" spans="6:7" ht="15.75" customHeight="1" x14ac:dyDescent="0.25">
      <c r="F456" s="2"/>
      <c r="G456" s="2"/>
    </row>
    <row r="457" spans="6:7" ht="15.75" customHeight="1" x14ac:dyDescent="0.25">
      <c r="F457" s="2"/>
      <c r="G457" s="2"/>
    </row>
    <row r="458" spans="6:7" ht="15.75" customHeight="1" x14ac:dyDescent="0.25">
      <c r="F458" s="2"/>
      <c r="G458" s="2"/>
    </row>
    <row r="459" spans="6:7" ht="15.75" customHeight="1" x14ac:dyDescent="0.25">
      <c r="F459" s="2"/>
      <c r="G459" s="2"/>
    </row>
    <row r="460" spans="6:7" ht="15.75" customHeight="1" x14ac:dyDescent="0.25">
      <c r="F460" s="2"/>
      <c r="G460" s="2"/>
    </row>
    <row r="461" spans="6:7" ht="15.75" customHeight="1" x14ac:dyDescent="0.25">
      <c r="F461" s="2"/>
      <c r="G461" s="2"/>
    </row>
    <row r="462" spans="6:7" ht="15.75" customHeight="1" x14ac:dyDescent="0.25">
      <c r="F462" s="2"/>
      <c r="G462" s="2"/>
    </row>
    <row r="463" spans="6:7" ht="15.75" customHeight="1" x14ac:dyDescent="0.25">
      <c r="F463" s="2"/>
      <c r="G463" s="2"/>
    </row>
    <row r="464" spans="6:7" ht="15.75" customHeight="1" x14ac:dyDescent="0.25">
      <c r="F464" s="2"/>
      <c r="G464" s="2"/>
    </row>
    <row r="465" spans="6:7" ht="15.75" customHeight="1" x14ac:dyDescent="0.25">
      <c r="F465" s="2"/>
      <c r="G465" s="2"/>
    </row>
    <row r="466" spans="6:7" ht="15.75" customHeight="1" x14ac:dyDescent="0.25">
      <c r="F466" s="2"/>
      <c r="G466" s="2"/>
    </row>
    <row r="467" spans="6:7" ht="15.75" customHeight="1" x14ac:dyDescent="0.25">
      <c r="F467" s="2"/>
      <c r="G467" s="2"/>
    </row>
    <row r="468" spans="6:7" ht="15.75" customHeight="1" x14ac:dyDescent="0.25">
      <c r="F468" s="2"/>
      <c r="G468" s="2"/>
    </row>
    <row r="469" spans="6:7" ht="15.75" customHeight="1" x14ac:dyDescent="0.25">
      <c r="F469" s="2"/>
      <c r="G469" s="2"/>
    </row>
    <row r="470" spans="6:7" ht="15.75" customHeight="1" x14ac:dyDescent="0.25">
      <c r="F470" s="2"/>
      <c r="G470" s="2"/>
    </row>
    <row r="471" spans="6:7" ht="15.75" customHeight="1" x14ac:dyDescent="0.25">
      <c r="F471" s="2"/>
      <c r="G471" s="2"/>
    </row>
    <row r="472" spans="6:7" ht="15.75" customHeight="1" x14ac:dyDescent="0.25">
      <c r="F472" s="2"/>
      <c r="G472" s="2"/>
    </row>
    <row r="473" spans="6:7" ht="15.75" customHeight="1" x14ac:dyDescent="0.25">
      <c r="F473" s="2"/>
      <c r="G473" s="2"/>
    </row>
    <row r="474" spans="6:7" ht="15.75" customHeight="1" x14ac:dyDescent="0.25">
      <c r="F474" s="2"/>
      <c r="G474" s="2"/>
    </row>
    <row r="475" spans="6:7" ht="15.75" customHeight="1" x14ac:dyDescent="0.25">
      <c r="F475" s="2"/>
      <c r="G475" s="2"/>
    </row>
    <row r="476" spans="6:7" ht="15.75" customHeight="1" x14ac:dyDescent="0.25">
      <c r="F476" s="2"/>
      <c r="G476" s="2"/>
    </row>
    <row r="477" spans="6:7" ht="15.75" customHeight="1" x14ac:dyDescent="0.25">
      <c r="F477" s="2"/>
      <c r="G477" s="2"/>
    </row>
    <row r="478" spans="6:7" ht="15.75" customHeight="1" x14ac:dyDescent="0.25">
      <c r="F478" s="2"/>
      <c r="G478" s="2"/>
    </row>
    <row r="479" spans="6:7" ht="15.75" customHeight="1" x14ac:dyDescent="0.25">
      <c r="F479" s="2"/>
      <c r="G479" s="2"/>
    </row>
    <row r="480" spans="6:7" ht="15.75" customHeight="1" x14ac:dyDescent="0.25">
      <c r="F480" s="2"/>
      <c r="G480" s="2"/>
    </row>
    <row r="481" spans="6:7" ht="15.75" customHeight="1" x14ac:dyDescent="0.25">
      <c r="F481" s="2"/>
      <c r="G481" s="2"/>
    </row>
    <row r="482" spans="6:7" ht="15.75" customHeight="1" x14ac:dyDescent="0.25">
      <c r="F482" s="2"/>
      <c r="G482" s="2"/>
    </row>
    <row r="483" spans="6:7" ht="15.75" customHeight="1" x14ac:dyDescent="0.25">
      <c r="F483" s="2"/>
      <c r="G483" s="2"/>
    </row>
    <row r="484" spans="6:7" ht="15.75" customHeight="1" x14ac:dyDescent="0.25">
      <c r="F484" s="2"/>
      <c r="G484" s="2"/>
    </row>
    <row r="485" spans="6:7" ht="15.75" customHeight="1" x14ac:dyDescent="0.25">
      <c r="F485" s="2"/>
      <c r="G485" s="2"/>
    </row>
    <row r="486" spans="6:7" ht="15.75" customHeight="1" x14ac:dyDescent="0.25">
      <c r="F486" s="2"/>
      <c r="G486" s="2"/>
    </row>
    <row r="487" spans="6:7" ht="15.75" customHeight="1" x14ac:dyDescent="0.25">
      <c r="F487" s="2"/>
      <c r="G487" s="2"/>
    </row>
    <row r="488" spans="6:7" ht="15.75" customHeight="1" x14ac:dyDescent="0.25">
      <c r="F488" s="2"/>
      <c r="G488" s="2"/>
    </row>
    <row r="489" spans="6:7" ht="15.75" customHeight="1" x14ac:dyDescent="0.25">
      <c r="F489" s="2"/>
      <c r="G489" s="2"/>
    </row>
    <row r="490" spans="6:7" ht="15.75" customHeight="1" x14ac:dyDescent="0.25">
      <c r="F490" s="2"/>
      <c r="G490" s="2"/>
    </row>
    <row r="491" spans="6:7" ht="15.75" customHeight="1" x14ac:dyDescent="0.25">
      <c r="F491" s="2"/>
      <c r="G491" s="2"/>
    </row>
    <row r="492" spans="6:7" ht="15.75" customHeight="1" x14ac:dyDescent="0.25">
      <c r="F492" s="2"/>
      <c r="G492" s="2"/>
    </row>
    <row r="493" spans="6:7" ht="15.75" customHeight="1" x14ac:dyDescent="0.25">
      <c r="F493" s="2"/>
      <c r="G493" s="2"/>
    </row>
    <row r="494" spans="6:7" ht="15.75" customHeight="1" x14ac:dyDescent="0.25">
      <c r="F494" s="2"/>
      <c r="G494" s="2"/>
    </row>
    <row r="495" spans="6:7" ht="15.75" customHeight="1" x14ac:dyDescent="0.25">
      <c r="F495" s="2"/>
      <c r="G495" s="2"/>
    </row>
    <row r="496" spans="6:7" ht="15.75" customHeight="1" x14ac:dyDescent="0.25">
      <c r="F496" s="2"/>
      <c r="G496" s="2"/>
    </row>
    <row r="497" spans="6:7" ht="15.75" customHeight="1" x14ac:dyDescent="0.25">
      <c r="F497" s="2"/>
      <c r="G497" s="2"/>
    </row>
    <row r="498" spans="6:7" ht="15.75" customHeight="1" x14ac:dyDescent="0.25">
      <c r="F498" s="2"/>
      <c r="G498" s="2"/>
    </row>
    <row r="499" spans="6:7" ht="15.75" customHeight="1" x14ac:dyDescent="0.25">
      <c r="F499" s="2"/>
      <c r="G499" s="2"/>
    </row>
    <row r="500" spans="6:7" ht="15.75" customHeight="1" x14ac:dyDescent="0.25">
      <c r="F500" s="2"/>
      <c r="G500" s="2"/>
    </row>
    <row r="501" spans="6:7" ht="15.75" customHeight="1" x14ac:dyDescent="0.25">
      <c r="F501" s="2"/>
      <c r="G501" s="2"/>
    </row>
    <row r="502" spans="6:7" ht="15.75" customHeight="1" x14ac:dyDescent="0.25">
      <c r="F502" s="2"/>
      <c r="G502" s="2"/>
    </row>
    <row r="503" spans="6:7" ht="15.75" customHeight="1" x14ac:dyDescent="0.25">
      <c r="F503" s="2"/>
      <c r="G503" s="2"/>
    </row>
    <row r="504" spans="6:7" ht="15.75" customHeight="1" x14ac:dyDescent="0.25">
      <c r="F504" s="2"/>
      <c r="G504" s="2"/>
    </row>
    <row r="505" spans="6:7" ht="15.75" customHeight="1" x14ac:dyDescent="0.25">
      <c r="F505" s="2"/>
      <c r="G505" s="2"/>
    </row>
    <row r="506" spans="6:7" ht="15.75" customHeight="1" x14ac:dyDescent="0.25">
      <c r="F506" s="2"/>
      <c r="G506" s="2"/>
    </row>
    <row r="507" spans="6:7" ht="15.75" customHeight="1" x14ac:dyDescent="0.25">
      <c r="F507" s="2"/>
      <c r="G507" s="2"/>
    </row>
    <row r="508" spans="6:7" ht="15.75" customHeight="1" x14ac:dyDescent="0.25">
      <c r="F508" s="2"/>
      <c r="G508" s="2"/>
    </row>
    <row r="509" spans="6:7" ht="15.75" customHeight="1" x14ac:dyDescent="0.25">
      <c r="F509" s="2"/>
      <c r="G509" s="2"/>
    </row>
    <row r="510" spans="6:7" ht="15.75" customHeight="1" x14ac:dyDescent="0.25">
      <c r="F510" s="2"/>
      <c r="G510" s="2"/>
    </row>
    <row r="511" spans="6:7" ht="15.75" customHeight="1" x14ac:dyDescent="0.25">
      <c r="F511" s="2"/>
      <c r="G511" s="2"/>
    </row>
    <row r="512" spans="6:7" ht="15.75" customHeight="1" x14ac:dyDescent="0.25">
      <c r="F512" s="2"/>
      <c r="G512" s="2"/>
    </row>
    <row r="513" spans="6:7" ht="15.75" customHeight="1" x14ac:dyDescent="0.25">
      <c r="F513" s="2"/>
      <c r="G513" s="2"/>
    </row>
    <row r="514" spans="6:7" ht="15.75" customHeight="1" x14ac:dyDescent="0.25">
      <c r="F514" s="2"/>
      <c r="G514" s="2"/>
    </row>
    <row r="515" spans="6:7" ht="15.75" customHeight="1" x14ac:dyDescent="0.25">
      <c r="F515" s="2"/>
      <c r="G515" s="2"/>
    </row>
    <row r="516" spans="6:7" ht="15.75" customHeight="1" x14ac:dyDescent="0.25">
      <c r="F516" s="2"/>
      <c r="G516" s="2"/>
    </row>
    <row r="517" spans="6:7" ht="15.75" customHeight="1" x14ac:dyDescent="0.25">
      <c r="F517" s="2"/>
      <c r="G517" s="2"/>
    </row>
    <row r="518" spans="6:7" ht="15.75" customHeight="1" x14ac:dyDescent="0.25">
      <c r="F518" s="2"/>
      <c r="G518" s="2"/>
    </row>
    <row r="519" spans="6:7" ht="15.75" customHeight="1" x14ac:dyDescent="0.25">
      <c r="F519" s="2"/>
      <c r="G519" s="2"/>
    </row>
    <row r="520" spans="6:7" ht="15.75" customHeight="1" x14ac:dyDescent="0.25">
      <c r="F520" s="2"/>
      <c r="G520" s="2"/>
    </row>
    <row r="521" spans="6:7" ht="15.75" customHeight="1" x14ac:dyDescent="0.25">
      <c r="F521" s="2"/>
      <c r="G521" s="2"/>
    </row>
    <row r="522" spans="6:7" ht="15.75" customHeight="1" x14ac:dyDescent="0.25">
      <c r="F522" s="2"/>
      <c r="G522" s="2"/>
    </row>
    <row r="523" spans="6:7" ht="15.75" customHeight="1" x14ac:dyDescent="0.25">
      <c r="F523" s="2"/>
      <c r="G523" s="2"/>
    </row>
    <row r="524" spans="6:7" ht="15.75" customHeight="1" x14ac:dyDescent="0.25">
      <c r="F524" s="2"/>
      <c r="G524" s="2"/>
    </row>
    <row r="525" spans="6:7" ht="15.75" customHeight="1" x14ac:dyDescent="0.25">
      <c r="F525" s="2"/>
      <c r="G525" s="2"/>
    </row>
    <row r="526" spans="6:7" ht="15.75" customHeight="1" x14ac:dyDescent="0.25">
      <c r="F526" s="2"/>
      <c r="G526" s="2"/>
    </row>
    <row r="527" spans="6:7" ht="15.75" customHeight="1" x14ac:dyDescent="0.25">
      <c r="F527" s="2"/>
      <c r="G527" s="2"/>
    </row>
    <row r="528" spans="6:7" ht="15.75" customHeight="1" x14ac:dyDescent="0.25">
      <c r="F528" s="2"/>
      <c r="G528" s="2"/>
    </row>
    <row r="529" spans="6:7" ht="15.75" customHeight="1" x14ac:dyDescent="0.25">
      <c r="F529" s="2"/>
      <c r="G529" s="2"/>
    </row>
    <row r="530" spans="6:7" ht="15.75" customHeight="1" x14ac:dyDescent="0.25">
      <c r="F530" s="2"/>
      <c r="G530" s="2"/>
    </row>
    <row r="531" spans="6:7" ht="15.75" customHeight="1" x14ac:dyDescent="0.25">
      <c r="F531" s="2"/>
      <c r="G531" s="2"/>
    </row>
    <row r="532" spans="6:7" ht="15.75" customHeight="1" x14ac:dyDescent="0.25">
      <c r="F532" s="2"/>
      <c r="G532" s="2"/>
    </row>
    <row r="533" spans="6:7" ht="15.75" customHeight="1" x14ac:dyDescent="0.25">
      <c r="F533" s="2"/>
      <c r="G533" s="2"/>
    </row>
    <row r="534" spans="6:7" ht="15.75" customHeight="1" x14ac:dyDescent="0.25">
      <c r="F534" s="2"/>
      <c r="G534" s="2"/>
    </row>
    <row r="535" spans="6:7" ht="15.75" customHeight="1" x14ac:dyDescent="0.25">
      <c r="F535" s="2"/>
      <c r="G535" s="2"/>
    </row>
    <row r="536" spans="6:7" ht="15.75" customHeight="1" x14ac:dyDescent="0.25">
      <c r="F536" s="2"/>
      <c r="G536" s="2"/>
    </row>
    <row r="537" spans="6:7" ht="15.75" customHeight="1" x14ac:dyDescent="0.25">
      <c r="F537" s="2"/>
      <c r="G537" s="2"/>
    </row>
    <row r="538" spans="6:7" ht="15.75" customHeight="1" x14ac:dyDescent="0.25">
      <c r="F538" s="2"/>
      <c r="G538" s="2"/>
    </row>
    <row r="539" spans="6:7" ht="15.75" customHeight="1" x14ac:dyDescent="0.25">
      <c r="F539" s="2"/>
      <c r="G539" s="2"/>
    </row>
    <row r="540" spans="6:7" ht="15.75" customHeight="1" x14ac:dyDescent="0.25">
      <c r="F540" s="2"/>
      <c r="G540" s="2"/>
    </row>
    <row r="541" spans="6:7" ht="15.75" customHeight="1" x14ac:dyDescent="0.25">
      <c r="F541" s="2"/>
      <c r="G541" s="2"/>
    </row>
    <row r="542" spans="6:7" ht="15.75" customHeight="1" x14ac:dyDescent="0.25">
      <c r="F542" s="2"/>
      <c r="G542" s="2"/>
    </row>
    <row r="543" spans="6:7" ht="15.75" customHeight="1" x14ac:dyDescent="0.25">
      <c r="F543" s="2"/>
      <c r="G543" s="2"/>
    </row>
    <row r="544" spans="6:7" ht="15.75" customHeight="1" x14ac:dyDescent="0.25">
      <c r="F544" s="2"/>
      <c r="G544" s="2"/>
    </row>
    <row r="545" spans="6:7" ht="15.75" customHeight="1" x14ac:dyDescent="0.25">
      <c r="F545" s="2"/>
      <c r="G545" s="2"/>
    </row>
    <row r="546" spans="6:7" ht="15.75" customHeight="1" x14ac:dyDescent="0.25">
      <c r="F546" s="2"/>
      <c r="G546" s="2"/>
    </row>
    <row r="547" spans="6:7" ht="15.75" customHeight="1" x14ac:dyDescent="0.25">
      <c r="F547" s="2"/>
      <c r="G547" s="2"/>
    </row>
    <row r="548" spans="6:7" ht="15.75" customHeight="1" x14ac:dyDescent="0.25">
      <c r="F548" s="2"/>
      <c r="G548" s="2"/>
    </row>
    <row r="549" spans="6:7" ht="15.75" customHeight="1" x14ac:dyDescent="0.25">
      <c r="F549" s="2"/>
      <c r="G549" s="2"/>
    </row>
    <row r="550" spans="6:7" ht="15.75" customHeight="1" x14ac:dyDescent="0.25">
      <c r="F550" s="2"/>
      <c r="G550" s="2"/>
    </row>
    <row r="551" spans="6:7" ht="15.75" customHeight="1" x14ac:dyDescent="0.25">
      <c r="F551" s="2"/>
      <c r="G551" s="2"/>
    </row>
    <row r="552" spans="6:7" ht="15.75" customHeight="1" x14ac:dyDescent="0.25">
      <c r="F552" s="2"/>
      <c r="G552" s="2"/>
    </row>
    <row r="553" spans="6:7" ht="15.75" customHeight="1" x14ac:dyDescent="0.25">
      <c r="F553" s="2"/>
      <c r="G553" s="2"/>
    </row>
    <row r="554" spans="6:7" ht="15.75" customHeight="1" x14ac:dyDescent="0.25">
      <c r="F554" s="2"/>
      <c r="G554" s="2"/>
    </row>
    <row r="555" spans="6:7" ht="15.75" customHeight="1" x14ac:dyDescent="0.25">
      <c r="F555" s="2"/>
      <c r="G555" s="2"/>
    </row>
    <row r="556" spans="6:7" ht="15.75" customHeight="1" x14ac:dyDescent="0.25">
      <c r="F556" s="2"/>
      <c r="G556" s="2"/>
    </row>
    <row r="557" spans="6:7" ht="15.75" customHeight="1" x14ac:dyDescent="0.25">
      <c r="F557" s="2"/>
      <c r="G557" s="2"/>
    </row>
    <row r="558" spans="6:7" ht="15.75" customHeight="1" x14ac:dyDescent="0.25">
      <c r="F558" s="2"/>
      <c r="G558" s="2"/>
    </row>
    <row r="559" spans="6:7" ht="15.75" customHeight="1" x14ac:dyDescent="0.25">
      <c r="F559" s="2"/>
      <c r="G559" s="2"/>
    </row>
    <row r="560" spans="6:7" ht="15.75" customHeight="1" x14ac:dyDescent="0.25">
      <c r="F560" s="2"/>
      <c r="G560" s="2"/>
    </row>
    <row r="561" spans="6:7" ht="15.75" customHeight="1" x14ac:dyDescent="0.25">
      <c r="F561" s="2"/>
      <c r="G561" s="2"/>
    </row>
    <row r="562" spans="6:7" ht="15.75" customHeight="1" x14ac:dyDescent="0.25">
      <c r="F562" s="2"/>
      <c r="G562" s="2"/>
    </row>
    <row r="563" spans="6:7" ht="15.75" customHeight="1" x14ac:dyDescent="0.25">
      <c r="F563" s="2"/>
      <c r="G563" s="2"/>
    </row>
    <row r="564" spans="6:7" ht="15.75" customHeight="1" x14ac:dyDescent="0.25">
      <c r="F564" s="2"/>
      <c r="G564" s="2"/>
    </row>
    <row r="565" spans="6:7" ht="15.75" customHeight="1" x14ac:dyDescent="0.25">
      <c r="F565" s="2"/>
      <c r="G565" s="2"/>
    </row>
    <row r="566" spans="6:7" ht="15.75" customHeight="1" x14ac:dyDescent="0.25">
      <c r="F566" s="2"/>
      <c r="G566" s="2"/>
    </row>
    <row r="567" spans="6:7" ht="15.75" customHeight="1" x14ac:dyDescent="0.25">
      <c r="F567" s="2"/>
      <c r="G567" s="2"/>
    </row>
    <row r="568" spans="6:7" ht="15.75" customHeight="1" x14ac:dyDescent="0.25">
      <c r="F568" s="2"/>
      <c r="G568" s="2"/>
    </row>
    <row r="569" spans="6:7" ht="15.75" customHeight="1" x14ac:dyDescent="0.25">
      <c r="F569" s="2"/>
      <c r="G569" s="2"/>
    </row>
    <row r="570" spans="6:7" ht="15.75" customHeight="1" x14ac:dyDescent="0.25">
      <c r="F570" s="2"/>
      <c r="G570" s="2"/>
    </row>
    <row r="571" spans="6:7" ht="15.75" customHeight="1" x14ac:dyDescent="0.25">
      <c r="F571" s="2"/>
      <c r="G571" s="2"/>
    </row>
    <row r="572" spans="6:7" ht="15.75" customHeight="1" x14ac:dyDescent="0.25">
      <c r="F572" s="2"/>
      <c r="G572" s="2"/>
    </row>
    <row r="573" spans="6:7" ht="15.75" customHeight="1" x14ac:dyDescent="0.25">
      <c r="F573" s="2"/>
      <c r="G573" s="2"/>
    </row>
    <row r="574" spans="6:7" ht="15.75" customHeight="1" x14ac:dyDescent="0.25">
      <c r="F574" s="2"/>
      <c r="G574" s="2"/>
    </row>
    <row r="575" spans="6:7" ht="15.75" customHeight="1" x14ac:dyDescent="0.25">
      <c r="F575" s="2"/>
      <c r="G575" s="2"/>
    </row>
    <row r="576" spans="6:7" ht="15.75" customHeight="1" x14ac:dyDescent="0.25">
      <c r="F576" s="2"/>
      <c r="G576" s="2"/>
    </row>
    <row r="577" spans="6:7" ht="15.75" customHeight="1" x14ac:dyDescent="0.25">
      <c r="F577" s="2"/>
      <c r="G577" s="2"/>
    </row>
    <row r="578" spans="6:7" ht="15.75" customHeight="1" x14ac:dyDescent="0.25">
      <c r="F578" s="2"/>
      <c r="G578" s="2"/>
    </row>
    <row r="579" spans="6:7" ht="15.75" customHeight="1" x14ac:dyDescent="0.25">
      <c r="F579" s="2"/>
      <c r="G579" s="2"/>
    </row>
    <row r="580" spans="6:7" ht="15.75" customHeight="1" x14ac:dyDescent="0.25">
      <c r="F580" s="2"/>
      <c r="G580" s="2"/>
    </row>
    <row r="581" spans="6:7" ht="15.75" customHeight="1" x14ac:dyDescent="0.25">
      <c r="F581" s="2"/>
      <c r="G581" s="2"/>
    </row>
    <row r="582" spans="6:7" ht="15.75" customHeight="1" x14ac:dyDescent="0.25">
      <c r="F582" s="2"/>
      <c r="G582" s="2"/>
    </row>
    <row r="583" spans="6:7" ht="15.75" customHeight="1" x14ac:dyDescent="0.25">
      <c r="F583" s="2"/>
      <c r="G583" s="2"/>
    </row>
    <row r="584" spans="6:7" ht="15.75" customHeight="1" x14ac:dyDescent="0.25">
      <c r="F584" s="2"/>
      <c r="G584" s="2"/>
    </row>
    <row r="585" spans="6:7" ht="15.75" customHeight="1" x14ac:dyDescent="0.25">
      <c r="F585" s="2"/>
      <c r="G585" s="2"/>
    </row>
    <row r="586" spans="6:7" ht="15.75" customHeight="1" x14ac:dyDescent="0.25">
      <c r="F586" s="2"/>
      <c r="G586" s="2"/>
    </row>
    <row r="587" spans="6:7" ht="15.75" customHeight="1" x14ac:dyDescent="0.25">
      <c r="F587" s="2"/>
      <c r="G587" s="2"/>
    </row>
    <row r="588" spans="6:7" ht="15.75" customHeight="1" x14ac:dyDescent="0.25">
      <c r="F588" s="2"/>
      <c r="G588" s="2"/>
    </row>
    <row r="589" spans="6:7" ht="15.75" customHeight="1" x14ac:dyDescent="0.25">
      <c r="F589" s="2"/>
      <c r="G589" s="2"/>
    </row>
    <row r="590" spans="6:7" ht="15.75" customHeight="1" x14ac:dyDescent="0.25">
      <c r="F590" s="2"/>
      <c r="G590" s="2"/>
    </row>
    <row r="591" spans="6:7" ht="15.75" customHeight="1" x14ac:dyDescent="0.25">
      <c r="F591" s="2"/>
      <c r="G591" s="2"/>
    </row>
    <row r="592" spans="6:7" ht="15.75" customHeight="1" x14ac:dyDescent="0.25">
      <c r="F592" s="2"/>
      <c r="G592" s="2"/>
    </row>
    <row r="593" spans="6:7" ht="15.75" customHeight="1" x14ac:dyDescent="0.25">
      <c r="F593" s="2"/>
      <c r="G593" s="2"/>
    </row>
    <row r="594" spans="6:7" ht="15.75" customHeight="1" x14ac:dyDescent="0.25">
      <c r="F594" s="2"/>
      <c r="G594" s="2"/>
    </row>
    <row r="595" spans="6:7" ht="15.75" customHeight="1" x14ac:dyDescent="0.25">
      <c r="F595" s="2"/>
      <c r="G595" s="2"/>
    </row>
    <row r="596" spans="6:7" ht="15.75" customHeight="1" x14ac:dyDescent="0.25">
      <c r="F596" s="2"/>
      <c r="G596" s="2"/>
    </row>
    <row r="597" spans="6:7" ht="15.75" customHeight="1" x14ac:dyDescent="0.25">
      <c r="F597" s="2"/>
      <c r="G597" s="2"/>
    </row>
    <row r="598" spans="6:7" ht="15.75" customHeight="1" x14ac:dyDescent="0.25">
      <c r="F598" s="2"/>
      <c r="G598" s="2"/>
    </row>
    <row r="599" spans="6:7" ht="15.75" customHeight="1" x14ac:dyDescent="0.25">
      <c r="F599" s="2"/>
      <c r="G599" s="2"/>
    </row>
    <row r="600" spans="6:7" ht="15.75" customHeight="1" x14ac:dyDescent="0.25">
      <c r="F600" s="2"/>
      <c r="G600" s="2"/>
    </row>
    <row r="601" spans="6:7" ht="15.75" customHeight="1" x14ac:dyDescent="0.25">
      <c r="F601" s="2"/>
      <c r="G601" s="2"/>
    </row>
    <row r="602" spans="6:7" ht="15.75" customHeight="1" x14ac:dyDescent="0.25">
      <c r="F602" s="2"/>
      <c r="G602" s="2"/>
    </row>
    <row r="603" spans="6:7" ht="15.75" customHeight="1" x14ac:dyDescent="0.25">
      <c r="F603" s="2"/>
      <c r="G603" s="2"/>
    </row>
    <row r="604" spans="6:7" ht="15.75" customHeight="1" x14ac:dyDescent="0.25">
      <c r="F604" s="2"/>
      <c r="G604" s="2"/>
    </row>
    <row r="605" spans="6:7" ht="15.75" customHeight="1" x14ac:dyDescent="0.25">
      <c r="F605" s="2"/>
      <c r="G605" s="2"/>
    </row>
    <row r="606" spans="6:7" ht="15.75" customHeight="1" x14ac:dyDescent="0.25">
      <c r="F606" s="2"/>
      <c r="G606" s="2"/>
    </row>
    <row r="607" spans="6:7" ht="15.75" customHeight="1" x14ac:dyDescent="0.25">
      <c r="F607" s="2"/>
      <c r="G607" s="2"/>
    </row>
    <row r="608" spans="6:7" ht="15.75" customHeight="1" x14ac:dyDescent="0.25">
      <c r="F608" s="2"/>
      <c r="G608" s="2"/>
    </row>
    <row r="609" spans="6:7" ht="15.75" customHeight="1" x14ac:dyDescent="0.25">
      <c r="F609" s="2"/>
      <c r="G609" s="2"/>
    </row>
    <row r="610" spans="6:7" ht="15.75" customHeight="1" x14ac:dyDescent="0.25">
      <c r="F610" s="2"/>
      <c r="G610" s="2"/>
    </row>
    <row r="611" spans="6:7" ht="15.75" customHeight="1" x14ac:dyDescent="0.25">
      <c r="F611" s="2"/>
      <c r="G611" s="2"/>
    </row>
    <row r="612" spans="6:7" ht="15.75" customHeight="1" x14ac:dyDescent="0.25">
      <c r="F612" s="2"/>
      <c r="G612" s="2"/>
    </row>
    <row r="613" spans="6:7" ht="15.75" customHeight="1" x14ac:dyDescent="0.25">
      <c r="F613" s="2"/>
      <c r="G613" s="2"/>
    </row>
    <row r="614" spans="6:7" ht="15.75" customHeight="1" x14ac:dyDescent="0.25">
      <c r="F614" s="2"/>
      <c r="G614" s="2"/>
    </row>
    <row r="615" spans="6:7" ht="15.75" customHeight="1" x14ac:dyDescent="0.25">
      <c r="F615" s="2"/>
      <c r="G615" s="2"/>
    </row>
    <row r="616" spans="6:7" ht="15.75" customHeight="1" x14ac:dyDescent="0.25">
      <c r="F616" s="2"/>
      <c r="G616" s="2"/>
    </row>
    <row r="617" spans="6:7" ht="15.75" customHeight="1" x14ac:dyDescent="0.25">
      <c r="F617" s="2"/>
      <c r="G617" s="2"/>
    </row>
    <row r="618" spans="6:7" ht="15.75" customHeight="1" x14ac:dyDescent="0.25">
      <c r="F618" s="2"/>
      <c r="G618" s="2"/>
    </row>
    <row r="619" spans="6:7" ht="15.75" customHeight="1" x14ac:dyDescent="0.25">
      <c r="F619" s="2"/>
      <c r="G619" s="2"/>
    </row>
    <row r="620" spans="6:7" ht="15.75" customHeight="1" x14ac:dyDescent="0.25">
      <c r="F620" s="2"/>
      <c r="G620" s="2"/>
    </row>
    <row r="621" spans="6:7" ht="15.75" customHeight="1" x14ac:dyDescent="0.25">
      <c r="F621" s="2"/>
      <c r="G621" s="2"/>
    </row>
    <row r="622" spans="6:7" ht="15.75" customHeight="1" x14ac:dyDescent="0.25">
      <c r="F622" s="2"/>
      <c r="G622" s="2"/>
    </row>
    <row r="623" spans="6:7" ht="15.75" customHeight="1" x14ac:dyDescent="0.25">
      <c r="F623" s="2"/>
      <c r="G623" s="2"/>
    </row>
    <row r="624" spans="6:7" ht="15.75" customHeight="1" x14ac:dyDescent="0.25">
      <c r="F624" s="2"/>
      <c r="G624" s="2"/>
    </row>
    <row r="625" spans="6:7" ht="15.75" customHeight="1" x14ac:dyDescent="0.25">
      <c r="F625" s="2"/>
      <c r="G625" s="2"/>
    </row>
    <row r="626" spans="6:7" ht="15.75" customHeight="1" x14ac:dyDescent="0.25">
      <c r="F626" s="2"/>
      <c r="G626" s="2"/>
    </row>
    <row r="627" spans="6:7" ht="15.75" customHeight="1" x14ac:dyDescent="0.25">
      <c r="F627" s="2"/>
      <c r="G627" s="2"/>
    </row>
    <row r="628" spans="6:7" ht="15.75" customHeight="1" x14ac:dyDescent="0.25">
      <c r="F628" s="2"/>
      <c r="G628" s="2"/>
    </row>
    <row r="629" spans="6:7" ht="15.75" customHeight="1" x14ac:dyDescent="0.25">
      <c r="F629" s="2"/>
      <c r="G629" s="2"/>
    </row>
    <row r="630" spans="6:7" ht="15.75" customHeight="1" x14ac:dyDescent="0.25">
      <c r="F630" s="2"/>
      <c r="G630" s="2"/>
    </row>
    <row r="631" spans="6:7" ht="15.75" customHeight="1" x14ac:dyDescent="0.25">
      <c r="F631" s="2"/>
      <c r="G631" s="2"/>
    </row>
    <row r="632" spans="6:7" ht="15.75" customHeight="1" x14ac:dyDescent="0.25">
      <c r="F632" s="2"/>
      <c r="G632" s="2"/>
    </row>
    <row r="633" spans="6:7" ht="15.75" customHeight="1" x14ac:dyDescent="0.25">
      <c r="F633" s="2"/>
      <c r="G633" s="2"/>
    </row>
    <row r="634" spans="6:7" ht="15.75" customHeight="1" x14ac:dyDescent="0.25">
      <c r="F634" s="2"/>
      <c r="G634" s="2"/>
    </row>
    <row r="635" spans="6:7" ht="15.75" customHeight="1" x14ac:dyDescent="0.25">
      <c r="F635" s="2"/>
      <c r="G635" s="2"/>
    </row>
    <row r="636" spans="6:7" ht="15.75" customHeight="1" x14ac:dyDescent="0.25">
      <c r="F636" s="2"/>
      <c r="G636" s="2"/>
    </row>
    <row r="637" spans="6:7" ht="15.75" customHeight="1" x14ac:dyDescent="0.25">
      <c r="F637" s="2"/>
      <c r="G637" s="2"/>
    </row>
    <row r="638" spans="6:7" ht="15.75" customHeight="1" x14ac:dyDescent="0.25">
      <c r="F638" s="2"/>
      <c r="G638" s="2"/>
    </row>
    <row r="639" spans="6:7" ht="15.75" customHeight="1" x14ac:dyDescent="0.25">
      <c r="F639" s="2"/>
      <c r="G639" s="2"/>
    </row>
    <row r="640" spans="6:7" ht="15.75" customHeight="1" x14ac:dyDescent="0.25">
      <c r="F640" s="2"/>
      <c r="G640" s="2"/>
    </row>
    <row r="641" spans="6:7" ht="15.75" customHeight="1" x14ac:dyDescent="0.25">
      <c r="F641" s="2"/>
      <c r="G641" s="2"/>
    </row>
    <row r="642" spans="6:7" ht="15.75" customHeight="1" x14ac:dyDescent="0.25">
      <c r="F642" s="2"/>
      <c r="G642" s="2"/>
    </row>
    <row r="643" spans="6:7" ht="15.75" customHeight="1" x14ac:dyDescent="0.25">
      <c r="F643" s="2"/>
      <c r="G643" s="2"/>
    </row>
    <row r="644" spans="6:7" ht="15.75" customHeight="1" x14ac:dyDescent="0.25">
      <c r="F644" s="2"/>
      <c r="G644" s="2"/>
    </row>
    <row r="645" spans="6:7" ht="15.75" customHeight="1" x14ac:dyDescent="0.25">
      <c r="F645" s="2"/>
      <c r="G645" s="2"/>
    </row>
    <row r="646" spans="6:7" ht="15.75" customHeight="1" x14ac:dyDescent="0.25">
      <c r="F646" s="2"/>
      <c r="G646" s="2"/>
    </row>
    <row r="647" spans="6:7" ht="15.75" customHeight="1" x14ac:dyDescent="0.25">
      <c r="F647" s="2"/>
      <c r="G647" s="2"/>
    </row>
    <row r="648" spans="6:7" ht="15.75" customHeight="1" x14ac:dyDescent="0.25">
      <c r="F648" s="2"/>
      <c r="G648" s="2"/>
    </row>
    <row r="649" spans="6:7" ht="15.75" customHeight="1" x14ac:dyDescent="0.25">
      <c r="F649" s="2"/>
      <c r="G649" s="2"/>
    </row>
    <row r="650" spans="6:7" ht="15.75" customHeight="1" x14ac:dyDescent="0.25">
      <c r="F650" s="2"/>
      <c r="G650" s="2"/>
    </row>
    <row r="651" spans="6:7" ht="15.75" customHeight="1" x14ac:dyDescent="0.25">
      <c r="F651" s="2"/>
      <c r="G651" s="2"/>
    </row>
    <row r="652" spans="6:7" ht="15.75" customHeight="1" x14ac:dyDescent="0.25">
      <c r="F652" s="2"/>
      <c r="G652" s="2"/>
    </row>
    <row r="653" spans="6:7" ht="15.75" customHeight="1" x14ac:dyDescent="0.25">
      <c r="F653" s="2"/>
      <c r="G653" s="2"/>
    </row>
    <row r="654" spans="6:7" ht="15.75" customHeight="1" x14ac:dyDescent="0.25">
      <c r="F654" s="2"/>
      <c r="G654" s="2"/>
    </row>
    <row r="655" spans="6:7" ht="15.75" customHeight="1" x14ac:dyDescent="0.25">
      <c r="F655" s="2"/>
      <c r="G655" s="2"/>
    </row>
    <row r="656" spans="6:7" ht="15.75" customHeight="1" x14ac:dyDescent="0.25">
      <c r="F656" s="2"/>
      <c r="G656" s="2"/>
    </row>
    <row r="657" spans="6:7" ht="15.75" customHeight="1" x14ac:dyDescent="0.25">
      <c r="F657" s="2"/>
      <c r="G657" s="2"/>
    </row>
    <row r="658" spans="6:7" ht="15.75" customHeight="1" x14ac:dyDescent="0.25">
      <c r="F658" s="2"/>
      <c r="G658" s="2"/>
    </row>
    <row r="659" spans="6:7" ht="15.75" customHeight="1" x14ac:dyDescent="0.25">
      <c r="F659" s="2"/>
      <c r="G659" s="2"/>
    </row>
    <row r="660" spans="6:7" ht="15.75" customHeight="1" x14ac:dyDescent="0.25">
      <c r="F660" s="2"/>
      <c r="G660" s="2"/>
    </row>
    <row r="661" spans="6:7" ht="15.75" customHeight="1" x14ac:dyDescent="0.25">
      <c r="F661" s="2"/>
      <c r="G661" s="2"/>
    </row>
    <row r="662" spans="6:7" ht="15.75" customHeight="1" x14ac:dyDescent="0.25">
      <c r="F662" s="2"/>
      <c r="G662" s="2"/>
    </row>
    <row r="663" spans="6:7" ht="15.75" customHeight="1" x14ac:dyDescent="0.25">
      <c r="F663" s="2"/>
      <c r="G663" s="2"/>
    </row>
    <row r="664" spans="6:7" ht="15.75" customHeight="1" x14ac:dyDescent="0.25">
      <c r="F664" s="2"/>
      <c r="G664" s="2"/>
    </row>
    <row r="665" spans="6:7" ht="15.75" customHeight="1" x14ac:dyDescent="0.25">
      <c r="F665" s="2"/>
      <c r="G665" s="2"/>
    </row>
    <row r="666" spans="6:7" ht="15.75" customHeight="1" x14ac:dyDescent="0.25">
      <c r="F666" s="2"/>
      <c r="G666" s="2"/>
    </row>
    <row r="667" spans="6:7" ht="15.75" customHeight="1" x14ac:dyDescent="0.25">
      <c r="F667" s="2"/>
      <c r="G667" s="2"/>
    </row>
    <row r="668" spans="6:7" ht="15.75" customHeight="1" x14ac:dyDescent="0.25">
      <c r="F668" s="2"/>
      <c r="G668" s="2"/>
    </row>
    <row r="669" spans="6:7" ht="15.75" customHeight="1" x14ac:dyDescent="0.25">
      <c r="F669" s="2"/>
      <c r="G669" s="2"/>
    </row>
    <row r="670" spans="6:7" ht="15.75" customHeight="1" x14ac:dyDescent="0.25">
      <c r="F670" s="2"/>
      <c r="G670" s="2"/>
    </row>
    <row r="671" spans="6:7" ht="15.75" customHeight="1" x14ac:dyDescent="0.25">
      <c r="F671" s="2"/>
      <c r="G671" s="2"/>
    </row>
    <row r="672" spans="6:7" ht="15.75" customHeight="1" x14ac:dyDescent="0.25">
      <c r="F672" s="2"/>
      <c r="G672" s="2"/>
    </row>
    <row r="673" spans="6:7" ht="15.75" customHeight="1" x14ac:dyDescent="0.25">
      <c r="F673" s="2"/>
      <c r="G673" s="2"/>
    </row>
    <row r="674" spans="6:7" ht="15.75" customHeight="1" x14ac:dyDescent="0.25">
      <c r="F674" s="2"/>
      <c r="G674" s="2"/>
    </row>
    <row r="675" spans="6:7" ht="15.75" customHeight="1" x14ac:dyDescent="0.25">
      <c r="F675" s="2"/>
      <c r="G675" s="2"/>
    </row>
    <row r="676" spans="6:7" ht="15.75" customHeight="1" x14ac:dyDescent="0.25">
      <c r="F676" s="2"/>
      <c r="G676" s="2"/>
    </row>
    <row r="677" spans="6:7" ht="15.75" customHeight="1" x14ac:dyDescent="0.25">
      <c r="F677" s="2"/>
      <c r="G677" s="2"/>
    </row>
    <row r="678" spans="6:7" ht="15.75" customHeight="1" x14ac:dyDescent="0.25">
      <c r="F678" s="2"/>
      <c r="G678" s="2"/>
    </row>
    <row r="679" spans="6:7" ht="15.75" customHeight="1" x14ac:dyDescent="0.25">
      <c r="F679" s="2"/>
      <c r="G679" s="2"/>
    </row>
    <row r="680" spans="6:7" ht="15.75" customHeight="1" x14ac:dyDescent="0.25">
      <c r="F680" s="2"/>
      <c r="G680" s="2"/>
    </row>
    <row r="681" spans="6:7" ht="15.75" customHeight="1" x14ac:dyDescent="0.25">
      <c r="F681" s="2"/>
      <c r="G681" s="2"/>
    </row>
    <row r="682" spans="6:7" ht="15.75" customHeight="1" x14ac:dyDescent="0.25">
      <c r="F682" s="2"/>
      <c r="G682" s="2"/>
    </row>
    <row r="683" spans="6:7" ht="15.75" customHeight="1" x14ac:dyDescent="0.25">
      <c r="F683" s="2"/>
      <c r="G683" s="2"/>
    </row>
    <row r="684" spans="6:7" ht="15.75" customHeight="1" x14ac:dyDescent="0.25">
      <c r="F684" s="2"/>
      <c r="G684" s="2"/>
    </row>
    <row r="685" spans="6:7" ht="15.75" customHeight="1" x14ac:dyDescent="0.25">
      <c r="F685" s="2"/>
      <c r="G685" s="2"/>
    </row>
    <row r="686" spans="6:7" ht="15.75" customHeight="1" x14ac:dyDescent="0.25">
      <c r="F686" s="2"/>
      <c r="G686" s="2"/>
    </row>
    <row r="687" spans="6:7" ht="15.75" customHeight="1" x14ac:dyDescent="0.25">
      <c r="F687" s="2"/>
      <c r="G687" s="2"/>
    </row>
    <row r="688" spans="6:7" ht="15.75" customHeight="1" x14ac:dyDescent="0.25">
      <c r="F688" s="2"/>
      <c r="G688" s="2"/>
    </row>
    <row r="689" spans="6:7" ht="15.75" customHeight="1" x14ac:dyDescent="0.25">
      <c r="F689" s="2"/>
      <c r="G689" s="2"/>
    </row>
    <row r="690" spans="6:7" ht="15.75" customHeight="1" x14ac:dyDescent="0.25">
      <c r="F690" s="2"/>
      <c r="G690" s="2"/>
    </row>
    <row r="691" spans="6:7" ht="15.75" customHeight="1" x14ac:dyDescent="0.25">
      <c r="F691" s="2"/>
      <c r="G691" s="2"/>
    </row>
    <row r="692" spans="6:7" ht="15.75" customHeight="1" x14ac:dyDescent="0.25">
      <c r="F692" s="2"/>
      <c r="G692" s="2"/>
    </row>
    <row r="693" spans="6:7" ht="15.75" customHeight="1" x14ac:dyDescent="0.25">
      <c r="F693" s="2"/>
      <c r="G693" s="2"/>
    </row>
    <row r="694" spans="6:7" ht="15.75" customHeight="1" x14ac:dyDescent="0.25">
      <c r="F694" s="2"/>
      <c r="G694" s="2"/>
    </row>
    <row r="695" spans="6:7" ht="15.75" customHeight="1" x14ac:dyDescent="0.25">
      <c r="F695" s="2"/>
      <c r="G695" s="2"/>
    </row>
    <row r="696" spans="6:7" ht="15.75" customHeight="1" x14ac:dyDescent="0.25">
      <c r="F696" s="2"/>
      <c r="G696" s="2"/>
    </row>
    <row r="697" spans="6:7" ht="15.75" customHeight="1" x14ac:dyDescent="0.25">
      <c r="F697" s="2"/>
      <c r="G697" s="2"/>
    </row>
    <row r="698" spans="6:7" ht="15.75" customHeight="1" x14ac:dyDescent="0.25">
      <c r="F698" s="2"/>
      <c r="G698" s="2"/>
    </row>
    <row r="699" spans="6:7" ht="15.75" customHeight="1" x14ac:dyDescent="0.25">
      <c r="F699" s="2"/>
      <c r="G699" s="2"/>
    </row>
    <row r="700" spans="6:7" ht="15.75" customHeight="1" x14ac:dyDescent="0.25">
      <c r="F700" s="2"/>
      <c r="G700" s="2"/>
    </row>
    <row r="701" spans="6:7" ht="15.75" customHeight="1" x14ac:dyDescent="0.25">
      <c r="F701" s="2"/>
      <c r="G701" s="2"/>
    </row>
    <row r="702" spans="6:7" ht="15.75" customHeight="1" x14ac:dyDescent="0.25">
      <c r="F702" s="2"/>
      <c r="G702" s="2"/>
    </row>
    <row r="703" spans="6:7" ht="15.75" customHeight="1" x14ac:dyDescent="0.25">
      <c r="F703" s="2"/>
      <c r="G703" s="2"/>
    </row>
    <row r="704" spans="6:7" ht="15.75" customHeight="1" x14ac:dyDescent="0.25">
      <c r="F704" s="2"/>
      <c r="G704" s="2"/>
    </row>
    <row r="705" spans="6:7" ht="15.75" customHeight="1" x14ac:dyDescent="0.25">
      <c r="F705" s="2"/>
      <c r="G705" s="2"/>
    </row>
    <row r="706" spans="6:7" ht="15.75" customHeight="1" x14ac:dyDescent="0.25">
      <c r="F706" s="2"/>
      <c r="G706" s="2"/>
    </row>
    <row r="707" spans="6:7" ht="15.75" customHeight="1" x14ac:dyDescent="0.25">
      <c r="F707" s="2"/>
      <c r="G707" s="2"/>
    </row>
    <row r="708" spans="6:7" ht="15.75" customHeight="1" x14ac:dyDescent="0.25">
      <c r="F708" s="2"/>
      <c r="G708" s="2"/>
    </row>
    <row r="709" spans="6:7" ht="15.75" customHeight="1" x14ac:dyDescent="0.25">
      <c r="F709" s="2"/>
      <c r="G709" s="2"/>
    </row>
    <row r="710" spans="6:7" ht="15.75" customHeight="1" x14ac:dyDescent="0.25">
      <c r="F710" s="2"/>
      <c r="G710" s="2"/>
    </row>
    <row r="711" spans="6:7" ht="15.75" customHeight="1" x14ac:dyDescent="0.25">
      <c r="F711" s="2"/>
      <c r="G711" s="2"/>
    </row>
    <row r="712" spans="6:7" ht="15.75" customHeight="1" x14ac:dyDescent="0.25">
      <c r="F712" s="2"/>
      <c r="G712" s="2"/>
    </row>
    <row r="713" spans="6:7" ht="15.75" customHeight="1" x14ac:dyDescent="0.25">
      <c r="F713" s="2"/>
      <c r="G713" s="2"/>
    </row>
    <row r="714" spans="6:7" ht="15.75" customHeight="1" x14ac:dyDescent="0.25">
      <c r="F714" s="2"/>
      <c r="G714" s="2"/>
    </row>
    <row r="715" spans="6:7" ht="15.75" customHeight="1" x14ac:dyDescent="0.25">
      <c r="F715" s="2"/>
      <c r="G715" s="2"/>
    </row>
    <row r="716" spans="6:7" ht="15.75" customHeight="1" x14ac:dyDescent="0.25">
      <c r="F716" s="2"/>
      <c r="G716" s="2"/>
    </row>
    <row r="717" spans="6:7" ht="15.75" customHeight="1" x14ac:dyDescent="0.25">
      <c r="F717" s="2"/>
      <c r="G717" s="2"/>
    </row>
    <row r="718" spans="6:7" ht="15.75" customHeight="1" x14ac:dyDescent="0.25">
      <c r="F718" s="2"/>
      <c r="G718" s="2"/>
    </row>
    <row r="719" spans="6:7" ht="15.75" customHeight="1" x14ac:dyDescent="0.25">
      <c r="F719" s="2"/>
      <c r="G719" s="2"/>
    </row>
    <row r="720" spans="6:7" ht="15.75" customHeight="1" x14ac:dyDescent="0.25">
      <c r="F720" s="2"/>
      <c r="G720" s="2"/>
    </row>
    <row r="721" spans="6:7" ht="15.75" customHeight="1" x14ac:dyDescent="0.25">
      <c r="F721" s="2"/>
      <c r="G721" s="2"/>
    </row>
    <row r="722" spans="6:7" ht="15.75" customHeight="1" x14ac:dyDescent="0.25">
      <c r="F722" s="2"/>
      <c r="G722" s="2"/>
    </row>
    <row r="723" spans="6:7" ht="15.75" customHeight="1" x14ac:dyDescent="0.25">
      <c r="F723" s="2"/>
      <c r="G723" s="2"/>
    </row>
    <row r="724" spans="6:7" ht="15.75" customHeight="1" x14ac:dyDescent="0.25">
      <c r="F724" s="2"/>
      <c r="G724" s="2"/>
    </row>
    <row r="725" spans="6:7" ht="15.75" customHeight="1" x14ac:dyDescent="0.25">
      <c r="F725" s="2"/>
      <c r="G725" s="2"/>
    </row>
    <row r="726" spans="6:7" ht="15.75" customHeight="1" x14ac:dyDescent="0.25">
      <c r="F726" s="2"/>
      <c r="G726" s="2"/>
    </row>
    <row r="727" spans="6:7" ht="15.75" customHeight="1" x14ac:dyDescent="0.25">
      <c r="F727" s="2"/>
      <c r="G727" s="2"/>
    </row>
    <row r="728" spans="6:7" ht="15.75" customHeight="1" x14ac:dyDescent="0.25">
      <c r="F728" s="2"/>
      <c r="G728" s="2"/>
    </row>
    <row r="729" spans="6:7" ht="15.75" customHeight="1" x14ac:dyDescent="0.25">
      <c r="F729" s="2"/>
      <c r="G729" s="2"/>
    </row>
    <row r="730" spans="6:7" ht="15.75" customHeight="1" x14ac:dyDescent="0.25">
      <c r="F730" s="2"/>
      <c r="G730" s="2"/>
    </row>
    <row r="731" spans="6:7" ht="15.75" customHeight="1" x14ac:dyDescent="0.25">
      <c r="F731" s="2"/>
      <c r="G731" s="2"/>
    </row>
    <row r="732" spans="6:7" ht="15.75" customHeight="1" x14ac:dyDescent="0.25">
      <c r="F732" s="2"/>
      <c r="G732" s="2"/>
    </row>
    <row r="733" spans="6:7" ht="15.75" customHeight="1" x14ac:dyDescent="0.25">
      <c r="F733" s="2"/>
      <c r="G733" s="2"/>
    </row>
    <row r="734" spans="6:7" ht="15.75" customHeight="1" x14ac:dyDescent="0.25">
      <c r="F734" s="2"/>
      <c r="G734" s="2"/>
    </row>
    <row r="735" spans="6:7" ht="15.75" customHeight="1" x14ac:dyDescent="0.25">
      <c r="F735" s="2"/>
      <c r="G735" s="2"/>
    </row>
    <row r="736" spans="6:7" ht="15.75" customHeight="1" x14ac:dyDescent="0.25">
      <c r="F736" s="2"/>
      <c r="G736" s="2"/>
    </row>
    <row r="737" spans="6:7" ht="15.75" customHeight="1" x14ac:dyDescent="0.25">
      <c r="F737" s="2"/>
      <c r="G737" s="2"/>
    </row>
    <row r="738" spans="6:7" ht="15.75" customHeight="1" x14ac:dyDescent="0.25">
      <c r="F738" s="2"/>
      <c r="G738" s="2"/>
    </row>
    <row r="739" spans="6:7" ht="15.75" customHeight="1" x14ac:dyDescent="0.25">
      <c r="F739" s="2"/>
      <c r="G739" s="2"/>
    </row>
    <row r="740" spans="6:7" ht="15.75" customHeight="1" x14ac:dyDescent="0.25">
      <c r="F740" s="2"/>
      <c r="G740" s="2"/>
    </row>
    <row r="741" spans="6:7" ht="15.75" customHeight="1" x14ac:dyDescent="0.25">
      <c r="F741" s="2"/>
      <c r="G741" s="2"/>
    </row>
    <row r="742" spans="6:7" ht="15.75" customHeight="1" x14ac:dyDescent="0.25">
      <c r="F742" s="2"/>
      <c r="G742" s="2"/>
    </row>
    <row r="743" spans="6:7" ht="15.75" customHeight="1" x14ac:dyDescent="0.25">
      <c r="F743" s="2"/>
      <c r="G743" s="2"/>
    </row>
    <row r="744" spans="6:7" ht="15.75" customHeight="1" x14ac:dyDescent="0.25">
      <c r="F744" s="2"/>
      <c r="G744" s="2"/>
    </row>
    <row r="745" spans="6:7" ht="15.75" customHeight="1" x14ac:dyDescent="0.25">
      <c r="F745" s="2"/>
      <c r="G745" s="2"/>
    </row>
    <row r="746" spans="6:7" ht="15.75" customHeight="1" x14ac:dyDescent="0.25">
      <c r="F746" s="2"/>
      <c r="G746" s="2"/>
    </row>
    <row r="747" spans="6:7" ht="15.75" customHeight="1" x14ac:dyDescent="0.25">
      <c r="F747" s="2"/>
      <c r="G747" s="2"/>
    </row>
    <row r="748" spans="6:7" ht="15.75" customHeight="1" x14ac:dyDescent="0.25">
      <c r="F748" s="2"/>
      <c r="G748" s="2"/>
    </row>
    <row r="749" spans="6:7" ht="15.75" customHeight="1" x14ac:dyDescent="0.25">
      <c r="F749" s="2"/>
      <c r="G749" s="2"/>
    </row>
    <row r="750" spans="6:7" ht="15.75" customHeight="1" x14ac:dyDescent="0.25">
      <c r="F750" s="2"/>
      <c r="G750" s="2"/>
    </row>
    <row r="751" spans="6:7" ht="15.75" customHeight="1" x14ac:dyDescent="0.25">
      <c r="F751" s="2"/>
      <c r="G751" s="2"/>
    </row>
    <row r="752" spans="6:7" ht="15.75" customHeight="1" x14ac:dyDescent="0.25">
      <c r="F752" s="2"/>
      <c r="G752" s="2"/>
    </row>
    <row r="753" spans="6:7" ht="15.75" customHeight="1" x14ac:dyDescent="0.25">
      <c r="F753" s="2"/>
      <c r="G753" s="2"/>
    </row>
    <row r="754" spans="6:7" ht="15.75" customHeight="1" x14ac:dyDescent="0.25">
      <c r="F754" s="2"/>
      <c r="G754" s="2"/>
    </row>
    <row r="755" spans="6:7" ht="15.75" customHeight="1" x14ac:dyDescent="0.25">
      <c r="F755" s="2"/>
      <c r="G755" s="2"/>
    </row>
    <row r="756" spans="6:7" ht="15.75" customHeight="1" x14ac:dyDescent="0.25">
      <c r="F756" s="2"/>
      <c r="G756" s="2"/>
    </row>
    <row r="757" spans="6:7" ht="15.75" customHeight="1" x14ac:dyDescent="0.25">
      <c r="F757" s="2"/>
      <c r="G757" s="2"/>
    </row>
    <row r="758" spans="6:7" ht="15.75" customHeight="1" x14ac:dyDescent="0.25">
      <c r="F758" s="2"/>
      <c r="G758" s="2"/>
    </row>
    <row r="759" spans="6:7" ht="15.75" customHeight="1" x14ac:dyDescent="0.25">
      <c r="F759" s="2"/>
      <c r="G759" s="2"/>
    </row>
    <row r="760" spans="6:7" ht="15.75" customHeight="1" x14ac:dyDescent="0.25">
      <c r="F760" s="2"/>
      <c r="G760" s="2"/>
    </row>
    <row r="761" spans="6:7" ht="15.75" customHeight="1" x14ac:dyDescent="0.25">
      <c r="F761" s="2"/>
      <c r="G761" s="2"/>
    </row>
    <row r="762" spans="6:7" ht="15.75" customHeight="1" x14ac:dyDescent="0.25">
      <c r="F762" s="2"/>
      <c r="G762" s="2"/>
    </row>
    <row r="763" spans="6:7" ht="15.75" customHeight="1" x14ac:dyDescent="0.25">
      <c r="F763" s="2"/>
      <c r="G763" s="2"/>
    </row>
    <row r="764" spans="6:7" ht="15.75" customHeight="1" x14ac:dyDescent="0.25">
      <c r="F764" s="2"/>
      <c r="G764" s="2"/>
    </row>
    <row r="765" spans="6:7" ht="15.75" customHeight="1" x14ac:dyDescent="0.25">
      <c r="F765" s="2"/>
      <c r="G765" s="2"/>
    </row>
    <row r="766" spans="6:7" ht="15.75" customHeight="1" x14ac:dyDescent="0.25">
      <c r="F766" s="2"/>
      <c r="G766" s="2"/>
    </row>
    <row r="767" spans="6:7" ht="15.75" customHeight="1" x14ac:dyDescent="0.25">
      <c r="F767" s="2"/>
      <c r="G767" s="2"/>
    </row>
    <row r="768" spans="6:7" ht="15.75" customHeight="1" x14ac:dyDescent="0.25">
      <c r="F768" s="2"/>
      <c r="G768" s="2"/>
    </row>
    <row r="769" spans="6:7" ht="15.75" customHeight="1" x14ac:dyDescent="0.25">
      <c r="F769" s="2"/>
      <c r="G769" s="2"/>
    </row>
    <row r="770" spans="6:7" ht="15.75" customHeight="1" x14ac:dyDescent="0.25">
      <c r="F770" s="2"/>
      <c r="G770" s="2"/>
    </row>
    <row r="771" spans="6:7" ht="15.75" customHeight="1" x14ac:dyDescent="0.25">
      <c r="F771" s="2"/>
      <c r="G771" s="2"/>
    </row>
    <row r="772" spans="6:7" ht="15.75" customHeight="1" x14ac:dyDescent="0.25">
      <c r="F772" s="2"/>
      <c r="G772" s="2"/>
    </row>
    <row r="773" spans="6:7" ht="15.75" customHeight="1" x14ac:dyDescent="0.25">
      <c r="F773" s="2"/>
      <c r="G773" s="2"/>
    </row>
    <row r="774" spans="6:7" ht="15.75" customHeight="1" x14ac:dyDescent="0.25">
      <c r="F774" s="2"/>
      <c r="G774" s="2"/>
    </row>
    <row r="775" spans="6:7" ht="15.75" customHeight="1" x14ac:dyDescent="0.25">
      <c r="F775" s="2"/>
      <c r="G775" s="2"/>
    </row>
    <row r="776" spans="6:7" ht="15.75" customHeight="1" x14ac:dyDescent="0.25">
      <c r="F776" s="2"/>
      <c r="G776" s="2"/>
    </row>
    <row r="777" spans="6:7" ht="15.75" customHeight="1" x14ac:dyDescent="0.25">
      <c r="F777" s="2"/>
      <c r="G777" s="2"/>
    </row>
    <row r="778" spans="6:7" ht="15.75" customHeight="1" x14ac:dyDescent="0.25">
      <c r="F778" s="2"/>
      <c r="G778" s="2"/>
    </row>
    <row r="779" spans="6:7" ht="15.75" customHeight="1" x14ac:dyDescent="0.25">
      <c r="F779" s="2"/>
      <c r="G779" s="2"/>
    </row>
    <row r="780" spans="6:7" ht="15.75" customHeight="1" x14ac:dyDescent="0.25">
      <c r="F780" s="2"/>
      <c r="G780" s="2"/>
    </row>
    <row r="781" spans="6:7" ht="15.75" customHeight="1" x14ac:dyDescent="0.25">
      <c r="F781" s="2"/>
      <c r="G781" s="2"/>
    </row>
    <row r="782" spans="6:7" ht="15.75" customHeight="1" x14ac:dyDescent="0.25">
      <c r="F782" s="2"/>
      <c r="G782" s="2"/>
    </row>
    <row r="783" spans="6:7" ht="15.75" customHeight="1" x14ac:dyDescent="0.25">
      <c r="F783" s="2"/>
      <c r="G783" s="2"/>
    </row>
    <row r="784" spans="6:7" ht="15.75" customHeight="1" x14ac:dyDescent="0.25">
      <c r="F784" s="2"/>
      <c r="G784" s="2"/>
    </row>
    <row r="785" spans="6:7" ht="15.75" customHeight="1" x14ac:dyDescent="0.25">
      <c r="F785" s="2"/>
      <c r="G785" s="2"/>
    </row>
    <row r="786" spans="6:7" ht="15.75" customHeight="1" x14ac:dyDescent="0.25">
      <c r="F786" s="2"/>
      <c r="G786" s="2"/>
    </row>
    <row r="787" spans="6:7" ht="15.75" customHeight="1" x14ac:dyDescent="0.25">
      <c r="F787" s="2"/>
      <c r="G787" s="2"/>
    </row>
    <row r="788" spans="6:7" ht="15.75" customHeight="1" x14ac:dyDescent="0.25">
      <c r="F788" s="2"/>
      <c r="G788" s="2"/>
    </row>
    <row r="789" spans="6:7" ht="15.75" customHeight="1" x14ac:dyDescent="0.25">
      <c r="F789" s="2"/>
      <c r="G789" s="2"/>
    </row>
    <row r="790" spans="6:7" ht="15.75" customHeight="1" x14ac:dyDescent="0.25">
      <c r="F790" s="2"/>
      <c r="G790" s="2"/>
    </row>
    <row r="791" spans="6:7" ht="15.75" customHeight="1" x14ac:dyDescent="0.25">
      <c r="F791" s="2"/>
      <c r="G791" s="2"/>
    </row>
    <row r="792" spans="6:7" ht="15.75" customHeight="1" x14ac:dyDescent="0.25">
      <c r="F792" s="2"/>
      <c r="G792" s="2"/>
    </row>
    <row r="793" spans="6:7" ht="15.75" customHeight="1" x14ac:dyDescent="0.25">
      <c r="F793" s="2"/>
      <c r="G793" s="2"/>
    </row>
    <row r="794" spans="6:7" ht="15.75" customHeight="1" x14ac:dyDescent="0.25">
      <c r="F794" s="2"/>
      <c r="G794" s="2"/>
    </row>
    <row r="795" spans="6:7" ht="15.75" customHeight="1" x14ac:dyDescent="0.25">
      <c r="F795" s="2"/>
      <c r="G795" s="2"/>
    </row>
    <row r="796" spans="6:7" ht="15.75" customHeight="1" x14ac:dyDescent="0.25">
      <c r="F796" s="2"/>
      <c r="G796" s="2"/>
    </row>
    <row r="797" spans="6:7" ht="15.75" customHeight="1" x14ac:dyDescent="0.25">
      <c r="F797" s="2"/>
      <c r="G797" s="2"/>
    </row>
    <row r="798" spans="6:7" ht="15.75" customHeight="1" x14ac:dyDescent="0.25">
      <c r="F798" s="2"/>
      <c r="G798" s="2"/>
    </row>
    <row r="799" spans="6:7" ht="15.75" customHeight="1" x14ac:dyDescent="0.25">
      <c r="F799" s="2"/>
      <c r="G799" s="2"/>
    </row>
    <row r="800" spans="6:7" ht="15.75" customHeight="1" x14ac:dyDescent="0.25">
      <c r="F800" s="2"/>
      <c r="G800" s="2"/>
    </row>
    <row r="801" spans="6:7" ht="15.75" customHeight="1" x14ac:dyDescent="0.25">
      <c r="F801" s="2"/>
      <c r="G801" s="2"/>
    </row>
    <row r="802" spans="6:7" ht="15.75" customHeight="1" x14ac:dyDescent="0.25">
      <c r="F802" s="2"/>
      <c r="G802" s="2"/>
    </row>
    <row r="803" spans="6:7" ht="15.75" customHeight="1" x14ac:dyDescent="0.25">
      <c r="F803" s="2"/>
      <c r="G803" s="2"/>
    </row>
    <row r="804" spans="6:7" ht="15.75" customHeight="1" x14ac:dyDescent="0.25">
      <c r="F804" s="2"/>
      <c r="G804" s="2"/>
    </row>
    <row r="805" spans="6:7" ht="15.75" customHeight="1" x14ac:dyDescent="0.25">
      <c r="F805" s="2"/>
      <c r="G805" s="2"/>
    </row>
    <row r="806" spans="6:7" ht="15.75" customHeight="1" x14ac:dyDescent="0.25">
      <c r="F806" s="2"/>
      <c r="G806" s="2"/>
    </row>
    <row r="807" spans="6:7" ht="15.75" customHeight="1" x14ac:dyDescent="0.25">
      <c r="F807" s="2"/>
      <c r="G807" s="2"/>
    </row>
    <row r="808" spans="6:7" ht="15.75" customHeight="1" x14ac:dyDescent="0.25">
      <c r="F808" s="2"/>
      <c r="G808" s="2"/>
    </row>
    <row r="809" spans="6:7" ht="15.75" customHeight="1" x14ac:dyDescent="0.25">
      <c r="F809" s="2"/>
      <c r="G809" s="2"/>
    </row>
    <row r="810" spans="6:7" ht="15.75" customHeight="1" x14ac:dyDescent="0.25">
      <c r="F810" s="2"/>
      <c r="G810" s="2"/>
    </row>
    <row r="811" spans="6:7" ht="15.75" customHeight="1" x14ac:dyDescent="0.25">
      <c r="F811" s="2"/>
      <c r="G811" s="2"/>
    </row>
    <row r="812" spans="6:7" ht="15.75" customHeight="1" x14ac:dyDescent="0.25">
      <c r="F812" s="2"/>
      <c r="G812" s="2"/>
    </row>
    <row r="813" spans="6:7" ht="15.75" customHeight="1" x14ac:dyDescent="0.25">
      <c r="F813" s="2"/>
      <c r="G813" s="2"/>
    </row>
    <row r="814" spans="6:7" ht="15.75" customHeight="1" x14ac:dyDescent="0.25">
      <c r="F814" s="2"/>
      <c r="G814" s="2"/>
    </row>
    <row r="815" spans="6:7" ht="15.75" customHeight="1" x14ac:dyDescent="0.25">
      <c r="F815" s="2"/>
      <c r="G815" s="2"/>
    </row>
    <row r="816" spans="6:7" ht="15.75" customHeight="1" x14ac:dyDescent="0.25">
      <c r="F816" s="2"/>
      <c r="G816" s="2"/>
    </row>
    <row r="817" spans="6:7" ht="15.75" customHeight="1" x14ac:dyDescent="0.25">
      <c r="F817" s="2"/>
      <c r="G817" s="2"/>
    </row>
    <row r="818" spans="6:7" ht="15.75" customHeight="1" x14ac:dyDescent="0.25">
      <c r="F818" s="2"/>
      <c r="G818" s="2"/>
    </row>
    <row r="819" spans="6:7" ht="15.75" customHeight="1" x14ac:dyDescent="0.25">
      <c r="F819" s="2"/>
      <c r="G819" s="2"/>
    </row>
    <row r="820" spans="6:7" ht="15.75" customHeight="1" x14ac:dyDescent="0.25">
      <c r="F820" s="2"/>
      <c r="G820" s="2"/>
    </row>
    <row r="821" spans="6:7" ht="15.75" customHeight="1" x14ac:dyDescent="0.25">
      <c r="F821" s="2"/>
      <c r="G821" s="2"/>
    </row>
    <row r="822" spans="6:7" ht="15.75" customHeight="1" x14ac:dyDescent="0.25">
      <c r="F822" s="2"/>
      <c r="G822" s="2"/>
    </row>
    <row r="823" spans="6:7" ht="15.75" customHeight="1" x14ac:dyDescent="0.25">
      <c r="F823" s="2"/>
      <c r="G823" s="2"/>
    </row>
    <row r="824" spans="6:7" ht="15.75" customHeight="1" x14ac:dyDescent="0.25">
      <c r="F824" s="2"/>
      <c r="G824" s="2"/>
    </row>
    <row r="825" spans="6:7" ht="15.75" customHeight="1" x14ac:dyDescent="0.25">
      <c r="F825" s="2"/>
      <c r="G825" s="2"/>
    </row>
    <row r="826" spans="6:7" ht="15.75" customHeight="1" x14ac:dyDescent="0.25">
      <c r="F826" s="2"/>
      <c r="G826" s="2"/>
    </row>
    <row r="827" spans="6:7" ht="15.75" customHeight="1" x14ac:dyDescent="0.25">
      <c r="F827" s="2"/>
      <c r="G827" s="2"/>
    </row>
    <row r="828" spans="6:7" ht="15.75" customHeight="1" x14ac:dyDescent="0.25">
      <c r="F828" s="2"/>
      <c r="G828" s="2"/>
    </row>
    <row r="829" spans="6:7" ht="15.75" customHeight="1" x14ac:dyDescent="0.25">
      <c r="F829" s="2"/>
      <c r="G829" s="2"/>
    </row>
    <row r="830" spans="6:7" ht="15.75" customHeight="1" x14ac:dyDescent="0.25">
      <c r="F830" s="2"/>
      <c r="G830" s="2"/>
    </row>
    <row r="831" spans="6:7" ht="15.75" customHeight="1" x14ac:dyDescent="0.25">
      <c r="F831" s="2"/>
      <c r="G831" s="2"/>
    </row>
    <row r="832" spans="6:7" ht="15.75" customHeight="1" x14ac:dyDescent="0.25">
      <c r="F832" s="2"/>
      <c r="G832" s="2"/>
    </row>
    <row r="833" spans="6:7" ht="15.75" customHeight="1" x14ac:dyDescent="0.25">
      <c r="F833" s="2"/>
      <c r="G833" s="2"/>
    </row>
    <row r="834" spans="6:7" ht="15.75" customHeight="1" x14ac:dyDescent="0.25">
      <c r="F834" s="2"/>
      <c r="G834" s="2"/>
    </row>
    <row r="835" spans="6:7" ht="15.75" customHeight="1" x14ac:dyDescent="0.25">
      <c r="F835" s="2"/>
      <c r="G835" s="2"/>
    </row>
    <row r="836" spans="6:7" ht="15.75" customHeight="1" x14ac:dyDescent="0.25">
      <c r="F836" s="2"/>
      <c r="G836" s="2"/>
    </row>
    <row r="837" spans="6:7" ht="15.75" customHeight="1" x14ac:dyDescent="0.25">
      <c r="F837" s="2"/>
      <c r="G837" s="2"/>
    </row>
    <row r="838" spans="6:7" ht="15.75" customHeight="1" x14ac:dyDescent="0.25">
      <c r="F838" s="2"/>
      <c r="G838" s="2"/>
    </row>
    <row r="839" spans="6:7" ht="15.75" customHeight="1" x14ac:dyDescent="0.25">
      <c r="F839" s="2"/>
      <c r="G839" s="2"/>
    </row>
    <row r="840" spans="6:7" ht="15.75" customHeight="1" x14ac:dyDescent="0.25">
      <c r="F840" s="2"/>
      <c r="G840" s="2"/>
    </row>
    <row r="841" spans="6:7" ht="15.75" customHeight="1" x14ac:dyDescent="0.25">
      <c r="F841" s="2"/>
      <c r="G841" s="2"/>
    </row>
    <row r="842" spans="6:7" ht="15.75" customHeight="1" x14ac:dyDescent="0.25">
      <c r="F842" s="2"/>
      <c r="G842" s="2"/>
    </row>
    <row r="843" spans="6:7" ht="15.75" customHeight="1" x14ac:dyDescent="0.25">
      <c r="F843" s="2"/>
      <c r="G843" s="2"/>
    </row>
    <row r="844" spans="6:7" ht="15.75" customHeight="1" x14ac:dyDescent="0.25">
      <c r="F844" s="2"/>
      <c r="G844" s="2"/>
    </row>
    <row r="845" spans="6:7" ht="15.75" customHeight="1" x14ac:dyDescent="0.25">
      <c r="F845" s="2"/>
      <c r="G845" s="2"/>
    </row>
    <row r="846" spans="6:7" ht="15.75" customHeight="1" x14ac:dyDescent="0.25">
      <c r="F846" s="2"/>
      <c r="G846" s="2"/>
    </row>
    <row r="847" spans="6:7" ht="15.75" customHeight="1" x14ac:dyDescent="0.25">
      <c r="F847" s="2"/>
      <c r="G847" s="2"/>
    </row>
    <row r="848" spans="6:7" ht="15.75" customHeight="1" x14ac:dyDescent="0.25">
      <c r="F848" s="2"/>
      <c r="G848" s="2"/>
    </row>
    <row r="849" spans="6:7" ht="15.75" customHeight="1" x14ac:dyDescent="0.25">
      <c r="F849" s="2"/>
      <c r="G849" s="2"/>
    </row>
    <row r="850" spans="6:7" ht="15.75" customHeight="1" x14ac:dyDescent="0.25">
      <c r="F850" s="2"/>
      <c r="G850" s="2"/>
    </row>
    <row r="851" spans="6:7" ht="15.75" customHeight="1" x14ac:dyDescent="0.25">
      <c r="F851" s="2"/>
      <c r="G851" s="2"/>
    </row>
    <row r="852" spans="6:7" ht="15.75" customHeight="1" x14ac:dyDescent="0.25">
      <c r="F852" s="2"/>
      <c r="G852" s="2"/>
    </row>
    <row r="853" spans="6:7" ht="15.75" customHeight="1" x14ac:dyDescent="0.25">
      <c r="F853" s="2"/>
      <c r="G853" s="2"/>
    </row>
    <row r="854" spans="6:7" ht="15.75" customHeight="1" x14ac:dyDescent="0.25">
      <c r="F854" s="2"/>
      <c r="G854" s="2"/>
    </row>
    <row r="855" spans="6:7" ht="15.75" customHeight="1" x14ac:dyDescent="0.25">
      <c r="F855" s="2"/>
      <c r="G855" s="2"/>
    </row>
    <row r="856" spans="6:7" ht="15.75" customHeight="1" x14ac:dyDescent="0.25">
      <c r="F856" s="2"/>
      <c r="G856" s="2"/>
    </row>
    <row r="857" spans="6:7" ht="15.75" customHeight="1" x14ac:dyDescent="0.25">
      <c r="F857" s="2"/>
      <c r="G857" s="2"/>
    </row>
    <row r="858" spans="6:7" ht="15.75" customHeight="1" x14ac:dyDescent="0.25">
      <c r="F858" s="2"/>
      <c r="G858" s="2"/>
    </row>
    <row r="859" spans="6:7" ht="15.75" customHeight="1" x14ac:dyDescent="0.25">
      <c r="F859" s="2"/>
      <c r="G859" s="2"/>
    </row>
    <row r="860" spans="6:7" ht="15.75" customHeight="1" x14ac:dyDescent="0.25">
      <c r="F860" s="2"/>
      <c r="G860" s="2"/>
    </row>
    <row r="861" spans="6:7" ht="15.75" customHeight="1" x14ac:dyDescent="0.25">
      <c r="F861" s="2"/>
      <c r="G861" s="2"/>
    </row>
    <row r="862" spans="6:7" ht="15.75" customHeight="1" x14ac:dyDescent="0.25">
      <c r="F862" s="2"/>
      <c r="G862" s="2"/>
    </row>
    <row r="863" spans="6:7" ht="15.75" customHeight="1" x14ac:dyDescent="0.25">
      <c r="F863" s="2"/>
      <c r="G863" s="2"/>
    </row>
    <row r="864" spans="6:7" ht="15.75" customHeight="1" x14ac:dyDescent="0.25">
      <c r="F864" s="2"/>
      <c r="G864" s="2"/>
    </row>
    <row r="865" spans="6:7" ht="15.75" customHeight="1" x14ac:dyDescent="0.25">
      <c r="F865" s="2"/>
      <c r="G865" s="2"/>
    </row>
    <row r="866" spans="6:7" ht="15.75" customHeight="1" x14ac:dyDescent="0.25">
      <c r="F866" s="2"/>
      <c r="G866" s="2"/>
    </row>
    <row r="867" spans="6:7" ht="15.75" customHeight="1" x14ac:dyDescent="0.25">
      <c r="F867" s="2"/>
      <c r="G867" s="2"/>
    </row>
    <row r="868" spans="6:7" ht="15.75" customHeight="1" x14ac:dyDescent="0.25">
      <c r="F868" s="2"/>
      <c r="G868" s="2"/>
    </row>
    <row r="869" spans="6:7" ht="15.75" customHeight="1" x14ac:dyDescent="0.25">
      <c r="F869" s="2"/>
      <c r="G869" s="2"/>
    </row>
    <row r="870" spans="6:7" ht="15.75" customHeight="1" x14ac:dyDescent="0.25">
      <c r="F870" s="2"/>
      <c r="G870" s="2"/>
    </row>
    <row r="871" spans="6:7" ht="15.75" customHeight="1" x14ac:dyDescent="0.25">
      <c r="F871" s="2"/>
      <c r="G871" s="2"/>
    </row>
    <row r="872" spans="6:7" ht="15.75" customHeight="1" x14ac:dyDescent="0.25">
      <c r="F872" s="2"/>
      <c r="G872" s="2"/>
    </row>
    <row r="873" spans="6:7" ht="15.75" customHeight="1" x14ac:dyDescent="0.25">
      <c r="F873" s="2"/>
      <c r="G873" s="2"/>
    </row>
    <row r="874" spans="6:7" ht="15.75" customHeight="1" x14ac:dyDescent="0.25">
      <c r="F874" s="2"/>
      <c r="G874" s="2"/>
    </row>
    <row r="875" spans="6:7" ht="15.75" customHeight="1" x14ac:dyDescent="0.25">
      <c r="F875" s="2"/>
      <c r="G875" s="2"/>
    </row>
    <row r="876" spans="6:7" ht="15.75" customHeight="1" x14ac:dyDescent="0.25">
      <c r="F876" s="2"/>
      <c r="G876" s="2"/>
    </row>
    <row r="877" spans="6:7" ht="15.75" customHeight="1" x14ac:dyDescent="0.25">
      <c r="F877" s="2"/>
      <c r="G877" s="2"/>
    </row>
    <row r="878" spans="6:7" ht="15.75" customHeight="1" x14ac:dyDescent="0.25">
      <c r="F878" s="2"/>
      <c r="G878" s="2"/>
    </row>
    <row r="879" spans="6:7" ht="15.75" customHeight="1" x14ac:dyDescent="0.25">
      <c r="F879" s="2"/>
      <c r="G879" s="2"/>
    </row>
    <row r="880" spans="6:7" ht="15.75" customHeight="1" x14ac:dyDescent="0.25">
      <c r="F880" s="2"/>
      <c r="G880" s="2"/>
    </row>
    <row r="881" spans="6:7" ht="15.75" customHeight="1" x14ac:dyDescent="0.25">
      <c r="F881" s="2"/>
      <c r="G881" s="2"/>
    </row>
    <row r="882" spans="6:7" ht="15.75" customHeight="1" x14ac:dyDescent="0.25">
      <c r="F882" s="2"/>
      <c r="G882" s="2"/>
    </row>
    <row r="883" spans="6:7" ht="15.75" customHeight="1" x14ac:dyDescent="0.25">
      <c r="F883" s="2"/>
      <c r="G883" s="2"/>
    </row>
    <row r="884" spans="6:7" ht="15.75" customHeight="1" x14ac:dyDescent="0.25">
      <c r="F884" s="2"/>
      <c r="G884" s="2"/>
    </row>
    <row r="885" spans="6:7" ht="15.75" customHeight="1" x14ac:dyDescent="0.25">
      <c r="F885" s="2"/>
      <c r="G885" s="2"/>
    </row>
    <row r="886" spans="6:7" ht="15.75" customHeight="1" x14ac:dyDescent="0.25">
      <c r="F886" s="2"/>
      <c r="G886" s="2"/>
    </row>
    <row r="887" spans="6:7" ht="15.75" customHeight="1" x14ac:dyDescent="0.25">
      <c r="F887" s="2"/>
      <c r="G887" s="2"/>
    </row>
    <row r="888" spans="6:7" ht="15.75" customHeight="1" x14ac:dyDescent="0.25">
      <c r="F888" s="2"/>
      <c r="G888" s="2"/>
    </row>
    <row r="889" spans="6:7" ht="15.75" customHeight="1" x14ac:dyDescent="0.25">
      <c r="F889" s="2"/>
      <c r="G889" s="2"/>
    </row>
    <row r="890" spans="6:7" ht="15.75" customHeight="1" x14ac:dyDescent="0.25">
      <c r="F890" s="2"/>
      <c r="G890" s="2"/>
    </row>
    <row r="891" spans="6:7" ht="15.75" customHeight="1" x14ac:dyDescent="0.25">
      <c r="F891" s="2"/>
      <c r="G891" s="2"/>
    </row>
    <row r="892" spans="6:7" ht="15.75" customHeight="1" x14ac:dyDescent="0.25">
      <c r="F892" s="2"/>
      <c r="G892" s="2"/>
    </row>
    <row r="893" spans="6:7" ht="15.75" customHeight="1" x14ac:dyDescent="0.25">
      <c r="F893" s="2"/>
      <c r="G893" s="2"/>
    </row>
    <row r="894" spans="6:7" ht="15.75" customHeight="1" x14ac:dyDescent="0.25">
      <c r="F894" s="2"/>
      <c r="G894" s="2"/>
    </row>
    <row r="895" spans="6:7" ht="15.75" customHeight="1" x14ac:dyDescent="0.25">
      <c r="F895" s="2"/>
      <c r="G895" s="2"/>
    </row>
    <row r="896" spans="6:7" ht="15.75" customHeight="1" x14ac:dyDescent="0.25">
      <c r="F896" s="2"/>
      <c r="G896" s="2"/>
    </row>
    <row r="897" spans="6:7" ht="15.75" customHeight="1" x14ac:dyDescent="0.25">
      <c r="F897" s="2"/>
      <c r="G897" s="2"/>
    </row>
    <row r="898" spans="6:7" ht="15.75" customHeight="1" x14ac:dyDescent="0.25">
      <c r="F898" s="2"/>
      <c r="G898" s="2"/>
    </row>
    <row r="899" spans="6:7" ht="15.75" customHeight="1" x14ac:dyDescent="0.25">
      <c r="F899" s="2"/>
      <c r="G899" s="2"/>
    </row>
    <row r="900" spans="6:7" ht="15.75" customHeight="1" x14ac:dyDescent="0.25">
      <c r="F900" s="2"/>
      <c r="G900" s="2"/>
    </row>
    <row r="901" spans="6:7" ht="15.75" customHeight="1" x14ac:dyDescent="0.25">
      <c r="F901" s="2"/>
      <c r="G901" s="2"/>
    </row>
    <row r="902" spans="6:7" ht="15.75" customHeight="1" x14ac:dyDescent="0.25">
      <c r="F902" s="2"/>
      <c r="G902" s="2"/>
    </row>
    <row r="903" spans="6:7" ht="15.75" customHeight="1" x14ac:dyDescent="0.25">
      <c r="F903" s="2"/>
      <c r="G903" s="2"/>
    </row>
    <row r="904" spans="6:7" ht="15.75" customHeight="1" x14ac:dyDescent="0.25">
      <c r="F904" s="2"/>
      <c r="G904" s="2"/>
    </row>
    <row r="905" spans="6:7" ht="15.75" customHeight="1" x14ac:dyDescent="0.25">
      <c r="F905" s="2"/>
      <c r="G905" s="2"/>
    </row>
    <row r="906" spans="6:7" ht="15.75" customHeight="1" x14ac:dyDescent="0.25">
      <c r="F906" s="2"/>
      <c r="G906" s="2"/>
    </row>
    <row r="907" spans="6:7" ht="15.75" customHeight="1" x14ac:dyDescent="0.25">
      <c r="F907" s="2"/>
      <c r="G907" s="2"/>
    </row>
    <row r="908" spans="6:7" ht="15.75" customHeight="1" x14ac:dyDescent="0.25">
      <c r="F908" s="2"/>
      <c r="G908" s="2"/>
    </row>
    <row r="909" spans="6:7" ht="15.75" customHeight="1" x14ac:dyDescent="0.25">
      <c r="F909" s="2"/>
      <c r="G909" s="2"/>
    </row>
    <row r="910" spans="6:7" ht="15.75" customHeight="1" x14ac:dyDescent="0.25">
      <c r="F910" s="2"/>
      <c r="G910" s="2"/>
    </row>
    <row r="911" spans="6:7" ht="15.75" customHeight="1" x14ac:dyDescent="0.25">
      <c r="F911" s="2"/>
      <c r="G911" s="2"/>
    </row>
    <row r="912" spans="6:7" ht="15.75" customHeight="1" x14ac:dyDescent="0.25">
      <c r="F912" s="2"/>
      <c r="G912" s="2"/>
    </row>
    <row r="913" spans="6:7" ht="15.75" customHeight="1" x14ac:dyDescent="0.25">
      <c r="F913" s="2"/>
      <c r="G913" s="2"/>
    </row>
    <row r="914" spans="6:7" ht="15.75" customHeight="1" x14ac:dyDescent="0.25">
      <c r="F914" s="2"/>
      <c r="G914" s="2"/>
    </row>
    <row r="915" spans="6:7" ht="15.75" customHeight="1" x14ac:dyDescent="0.25">
      <c r="F915" s="2"/>
      <c r="G915" s="2"/>
    </row>
    <row r="916" spans="6:7" ht="15.75" customHeight="1" x14ac:dyDescent="0.25">
      <c r="F916" s="2"/>
      <c r="G916" s="2"/>
    </row>
    <row r="917" spans="6:7" ht="15.75" customHeight="1" x14ac:dyDescent="0.25">
      <c r="F917" s="2"/>
      <c r="G917" s="2"/>
    </row>
    <row r="918" spans="6:7" ht="15.75" customHeight="1" x14ac:dyDescent="0.25">
      <c r="F918" s="2"/>
      <c r="G918" s="2"/>
    </row>
    <row r="919" spans="6:7" ht="15.75" customHeight="1" x14ac:dyDescent="0.25">
      <c r="F919" s="2"/>
      <c r="G919" s="2"/>
    </row>
    <row r="920" spans="6:7" ht="15.75" customHeight="1" x14ac:dyDescent="0.25">
      <c r="F920" s="2"/>
      <c r="G920" s="2"/>
    </row>
    <row r="921" spans="6:7" ht="15.75" customHeight="1" x14ac:dyDescent="0.25">
      <c r="F921" s="2"/>
      <c r="G921" s="2"/>
    </row>
    <row r="922" spans="6:7" ht="15.75" customHeight="1" x14ac:dyDescent="0.25">
      <c r="F922" s="2"/>
      <c r="G922" s="2"/>
    </row>
    <row r="923" spans="6:7" ht="15.75" customHeight="1" x14ac:dyDescent="0.25">
      <c r="F923" s="2"/>
      <c r="G923" s="2"/>
    </row>
    <row r="924" spans="6:7" ht="15.75" customHeight="1" x14ac:dyDescent="0.25">
      <c r="F924" s="2"/>
      <c r="G924" s="2"/>
    </row>
    <row r="925" spans="6:7" ht="15.75" customHeight="1" x14ac:dyDescent="0.25">
      <c r="F925" s="2"/>
      <c r="G925" s="2"/>
    </row>
    <row r="926" spans="6:7" ht="15.75" customHeight="1" x14ac:dyDescent="0.25">
      <c r="F926" s="2"/>
      <c r="G926" s="2"/>
    </row>
    <row r="927" spans="6:7" ht="15.75" customHeight="1" x14ac:dyDescent="0.25">
      <c r="F927" s="2"/>
      <c r="G927" s="2"/>
    </row>
    <row r="928" spans="6:7" ht="15.75" customHeight="1" x14ac:dyDescent="0.25">
      <c r="F928" s="2"/>
      <c r="G928" s="2"/>
    </row>
    <row r="929" spans="6:7" ht="15.75" customHeight="1" x14ac:dyDescent="0.25">
      <c r="F929" s="2"/>
      <c r="G929" s="2"/>
    </row>
    <row r="930" spans="6:7" ht="15.75" customHeight="1" x14ac:dyDescent="0.25">
      <c r="F930" s="2"/>
      <c r="G930" s="2"/>
    </row>
    <row r="931" spans="6:7" ht="15.75" customHeight="1" x14ac:dyDescent="0.25">
      <c r="F931" s="2"/>
      <c r="G931" s="2"/>
    </row>
    <row r="932" spans="6:7" ht="15.75" customHeight="1" x14ac:dyDescent="0.25">
      <c r="F932" s="2"/>
      <c r="G932" s="2"/>
    </row>
    <row r="933" spans="6:7" ht="15.75" customHeight="1" x14ac:dyDescent="0.25">
      <c r="F933" s="2"/>
      <c r="G933" s="2"/>
    </row>
    <row r="934" spans="6:7" ht="15.75" customHeight="1" x14ac:dyDescent="0.25">
      <c r="F934" s="2"/>
      <c r="G934" s="2"/>
    </row>
    <row r="935" spans="6:7" ht="15.75" customHeight="1" x14ac:dyDescent="0.25">
      <c r="F935" s="2"/>
      <c r="G935" s="2"/>
    </row>
    <row r="936" spans="6:7" ht="15.75" customHeight="1" x14ac:dyDescent="0.25">
      <c r="F936" s="2"/>
      <c r="G936" s="2"/>
    </row>
    <row r="937" spans="6:7" ht="15.75" customHeight="1" x14ac:dyDescent="0.25">
      <c r="F937" s="2"/>
      <c r="G937" s="2"/>
    </row>
    <row r="938" spans="6:7" ht="15.75" customHeight="1" x14ac:dyDescent="0.25">
      <c r="F938" s="2"/>
      <c r="G938" s="2"/>
    </row>
    <row r="939" spans="6:7" ht="15.75" customHeight="1" x14ac:dyDescent="0.25">
      <c r="F939" s="2"/>
      <c r="G939" s="2"/>
    </row>
    <row r="940" spans="6:7" ht="15.75" customHeight="1" x14ac:dyDescent="0.25">
      <c r="F940" s="2"/>
      <c r="G940" s="2"/>
    </row>
    <row r="941" spans="6:7" ht="15.75" customHeight="1" x14ac:dyDescent="0.25">
      <c r="F941" s="2"/>
      <c r="G941" s="2"/>
    </row>
    <row r="942" spans="6:7" ht="15.75" customHeight="1" x14ac:dyDescent="0.25">
      <c r="F942" s="2"/>
      <c r="G942" s="2"/>
    </row>
    <row r="943" spans="6:7" ht="15.75" customHeight="1" x14ac:dyDescent="0.25">
      <c r="F943" s="2"/>
      <c r="G943" s="2"/>
    </row>
    <row r="944" spans="6:7" ht="15.75" customHeight="1" x14ac:dyDescent="0.25">
      <c r="F944" s="2"/>
      <c r="G944" s="2"/>
    </row>
    <row r="945" spans="6:7" ht="15.75" customHeight="1" x14ac:dyDescent="0.25">
      <c r="F945" s="2"/>
      <c r="G945" s="2"/>
    </row>
    <row r="946" spans="6:7" ht="15.75" customHeight="1" x14ac:dyDescent="0.25">
      <c r="F946" s="2"/>
      <c r="G946" s="2"/>
    </row>
    <row r="947" spans="6:7" ht="15.75" customHeight="1" x14ac:dyDescent="0.25">
      <c r="F947" s="2"/>
      <c r="G947" s="2"/>
    </row>
    <row r="948" spans="6:7" ht="15.75" customHeight="1" x14ac:dyDescent="0.25">
      <c r="F948" s="2"/>
      <c r="G948" s="2"/>
    </row>
    <row r="949" spans="6:7" ht="15.75" customHeight="1" x14ac:dyDescent="0.25">
      <c r="F949" s="2"/>
      <c r="G949" s="2"/>
    </row>
    <row r="950" spans="6:7" ht="15.75" customHeight="1" x14ac:dyDescent="0.25">
      <c r="F950" s="2"/>
      <c r="G950" s="2"/>
    </row>
    <row r="951" spans="6:7" ht="15.75" customHeight="1" x14ac:dyDescent="0.25">
      <c r="F951" s="2"/>
      <c r="G951" s="2"/>
    </row>
    <row r="952" spans="6:7" ht="15.75" customHeight="1" x14ac:dyDescent="0.25">
      <c r="F952" s="2"/>
      <c r="G952" s="2"/>
    </row>
    <row r="953" spans="6:7" ht="15.75" customHeight="1" x14ac:dyDescent="0.25">
      <c r="F953" s="2"/>
      <c r="G953" s="2"/>
    </row>
    <row r="954" spans="6:7" ht="15.75" customHeight="1" x14ac:dyDescent="0.25">
      <c r="F954" s="2"/>
      <c r="G954" s="2"/>
    </row>
    <row r="955" spans="6:7" ht="15.75" customHeight="1" x14ac:dyDescent="0.25">
      <c r="F955" s="2"/>
      <c r="G955" s="2"/>
    </row>
    <row r="956" spans="6:7" ht="15.75" customHeight="1" x14ac:dyDescent="0.25">
      <c r="F956" s="2"/>
      <c r="G956" s="2"/>
    </row>
    <row r="957" spans="6:7" ht="15.75" customHeight="1" x14ac:dyDescent="0.25">
      <c r="F957" s="2"/>
      <c r="G957" s="2"/>
    </row>
    <row r="958" spans="6:7" ht="15.75" customHeight="1" x14ac:dyDescent="0.25">
      <c r="F958" s="2"/>
      <c r="G958" s="2"/>
    </row>
    <row r="959" spans="6:7" ht="15.75" customHeight="1" x14ac:dyDescent="0.25">
      <c r="F959" s="2"/>
      <c r="G959" s="2"/>
    </row>
    <row r="960" spans="6:7" ht="15.75" customHeight="1" x14ac:dyDescent="0.25">
      <c r="F960" s="2"/>
      <c r="G960" s="2"/>
    </row>
    <row r="961" spans="6:7" ht="15.75" customHeight="1" x14ac:dyDescent="0.25">
      <c r="F961" s="2"/>
      <c r="G961" s="2"/>
    </row>
    <row r="962" spans="6:7" ht="15.75" customHeight="1" x14ac:dyDescent="0.25">
      <c r="F962" s="2"/>
      <c r="G962" s="2"/>
    </row>
    <row r="963" spans="6:7" ht="15.75" customHeight="1" x14ac:dyDescent="0.25">
      <c r="F963" s="2"/>
      <c r="G963" s="2"/>
    </row>
    <row r="964" spans="6:7" ht="15.75" customHeight="1" x14ac:dyDescent="0.25">
      <c r="F964" s="2"/>
      <c r="G964" s="2"/>
    </row>
    <row r="965" spans="6:7" ht="15.75" customHeight="1" x14ac:dyDescent="0.25">
      <c r="F965" s="2"/>
      <c r="G965" s="2"/>
    </row>
    <row r="966" spans="6:7" ht="15.75" customHeight="1" x14ac:dyDescent="0.25">
      <c r="F966" s="2"/>
      <c r="G966" s="2"/>
    </row>
    <row r="967" spans="6:7" ht="15.75" customHeight="1" x14ac:dyDescent="0.25">
      <c r="F967" s="2"/>
      <c r="G967" s="2"/>
    </row>
    <row r="968" spans="6:7" ht="15.75" customHeight="1" x14ac:dyDescent="0.25">
      <c r="F968" s="2"/>
      <c r="G968" s="2"/>
    </row>
    <row r="969" spans="6:7" ht="15.75" customHeight="1" x14ac:dyDescent="0.25">
      <c r="F969" s="2"/>
      <c r="G969" s="2"/>
    </row>
    <row r="970" spans="6:7" ht="15.75" customHeight="1" x14ac:dyDescent="0.25">
      <c r="F970" s="2"/>
      <c r="G970" s="2"/>
    </row>
    <row r="971" spans="6:7" ht="15.75" customHeight="1" x14ac:dyDescent="0.25">
      <c r="F971" s="2"/>
      <c r="G971" s="2"/>
    </row>
    <row r="972" spans="6:7" ht="15.75" customHeight="1" x14ac:dyDescent="0.25">
      <c r="F972" s="2"/>
      <c r="G972" s="2"/>
    </row>
    <row r="973" spans="6:7" ht="15.75" customHeight="1" x14ac:dyDescent="0.25">
      <c r="F973" s="2"/>
      <c r="G973" s="2"/>
    </row>
    <row r="974" spans="6:7" ht="15.75" customHeight="1" x14ac:dyDescent="0.25">
      <c r="F974" s="2"/>
      <c r="G974" s="2"/>
    </row>
    <row r="975" spans="6:7" ht="15.75" customHeight="1" x14ac:dyDescent="0.25">
      <c r="F975" s="2"/>
      <c r="G975" s="2"/>
    </row>
    <row r="976" spans="6:7" ht="15.75" customHeight="1" x14ac:dyDescent="0.25">
      <c r="F976" s="2"/>
      <c r="G976" s="2"/>
    </row>
    <row r="977" spans="6:7" ht="15.75" customHeight="1" x14ac:dyDescent="0.25">
      <c r="F977" s="2"/>
      <c r="G977" s="2"/>
    </row>
    <row r="978" spans="6:7" ht="15.75" customHeight="1" x14ac:dyDescent="0.25">
      <c r="F978" s="2"/>
      <c r="G978" s="2"/>
    </row>
    <row r="979" spans="6:7" ht="15.75" customHeight="1" x14ac:dyDescent="0.25">
      <c r="F979" s="2"/>
      <c r="G979" s="2"/>
    </row>
    <row r="980" spans="6:7" ht="15.75" customHeight="1" x14ac:dyDescent="0.25">
      <c r="F980" s="2"/>
      <c r="G980" s="2"/>
    </row>
    <row r="981" spans="6:7" ht="15.75" customHeight="1" x14ac:dyDescent="0.25">
      <c r="F981" s="2"/>
      <c r="G981" s="2"/>
    </row>
    <row r="982" spans="6:7" ht="15.75" customHeight="1" x14ac:dyDescent="0.25">
      <c r="F982" s="2"/>
      <c r="G982" s="2"/>
    </row>
    <row r="983" spans="6:7" ht="15.75" customHeight="1" x14ac:dyDescent="0.25">
      <c r="F983" s="2"/>
      <c r="G983" s="2"/>
    </row>
    <row r="984" spans="6:7" ht="15.75" customHeight="1" x14ac:dyDescent="0.25">
      <c r="F984" s="2"/>
      <c r="G984" s="2"/>
    </row>
    <row r="985" spans="6:7" ht="15.75" customHeight="1" x14ac:dyDescent="0.25">
      <c r="F985" s="2"/>
      <c r="G985" s="2"/>
    </row>
    <row r="986" spans="6:7" ht="15.75" customHeight="1" x14ac:dyDescent="0.25">
      <c r="F986" s="2"/>
      <c r="G986" s="2"/>
    </row>
    <row r="987" spans="6:7" ht="15.75" customHeight="1" x14ac:dyDescent="0.25">
      <c r="F987" s="2"/>
      <c r="G987" s="2"/>
    </row>
    <row r="988" spans="6:7" ht="15.75" customHeight="1" x14ac:dyDescent="0.25">
      <c r="F988" s="2"/>
      <c r="G988" s="2"/>
    </row>
    <row r="989" spans="6:7" ht="15.75" customHeight="1" x14ac:dyDescent="0.25">
      <c r="F989" s="2"/>
      <c r="G989" s="2"/>
    </row>
    <row r="990" spans="6:7" ht="15.75" customHeight="1" x14ac:dyDescent="0.25">
      <c r="F990" s="2"/>
      <c r="G990" s="2"/>
    </row>
    <row r="991" spans="6:7" ht="15.75" customHeight="1" x14ac:dyDescent="0.25">
      <c r="F991" s="2"/>
      <c r="G991" s="2"/>
    </row>
    <row r="992" spans="6:7" ht="15.75" customHeight="1" x14ac:dyDescent="0.25">
      <c r="F992" s="2"/>
      <c r="G992" s="2"/>
    </row>
    <row r="993" spans="6:7" ht="15.75" customHeight="1" x14ac:dyDescent="0.25">
      <c r="F993" s="2"/>
      <c r="G993" s="2"/>
    </row>
    <row r="994" spans="6:7" ht="15.75" customHeight="1" x14ac:dyDescent="0.25">
      <c r="F994" s="2"/>
      <c r="G994" s="2"/>
    </row>
    <row r="995" spans="6:7" ht="15.75" customHeight="1" x14ac:dyDescent="0.25">
      <c r="F995" s="2"/>
      <c r="G995" s="2"/>
    </row>
    <row r="996" spans="6:7" ht="15.75" customHeight="1" x14ac:dyDescent="0.25">
      <c r="F996" s="2"/>
      <c r="G996" s="2"/>
    </row>
    <row r="997" spans="6:7" ht="15.75" customHeight="1" x14ac:dyDescent="0.25">
      <c r="F997" s="2"/>
      <c r="G997" s="2"/>
    </row>
    <row r="998" spans="6:7" ht="15.75" customHeight="1" x14ac:dyDescent="0.25">
      <c r="F998" s="2"/>
      <c r="G998" s="2"/>
    </row>
    <row r="999" spans="6:7" ht="15.75" customHeight="1" x14ac:dyDescent="0.25">
      <c r="F999" s="2"/>
      <c r="G999" s="2"/>
    </row>
    <row r="1000" spans="6:7" ht="15.75" customHeight="1" x14ac:dyDescent="0.25">
      <c r="F1000" s="2"/>
      <c r="G1000" s="2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>
      <selection activeCell="D28" sqref="D28"/>
    </sheetView>
  </sheetViews>
  <sheetFormatPr defaultColWidth="14.42578125" defaultRowHeight="15" customHeight="1" x14ac:dyDescent="0.25"/>
  <cols>
    <col min="1" max="2" width="8.7109375" customWidth="1"/>
    <col min="3" max="7" width="14.28515625" customWidth="1"/>
    <col min="8" max="26" width="8.71093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</row>
    <row r="2" spans="1:25" x14ac:dyDescent="0.25">
      <c r="A2" s="1">
        <v>6</v>
      </c>
      <c r="B2" s="1">
        <v>1.1000000238418599</v>
      </c>
      <c r="C2" s="1">
        <v>19.200000762939499</v>
      </c>
      <c r="D2" s="1">
        <f t="shared" ref="D2:D28" si="0">B2/SQRT(A2*A2+B2*B2)</f>
        <v>0.18032787263386343</v>
      </c>
      <c r="E2" s="1">
        <f t="shared" ref="E2:E28" si="1">C2*D2</f>
        <v>3.462295292149435</v>
      </c>
      <c r="F2" s="4"/>
      <c r="G2" s="4"/>
    </row>
    <row r="3" spans="1:25" x14ac:dyDescent="0.25">
      <c r="A3" s="1">
        <v>6</v>
      </c>
      <c r="B3" s="1">
        <v>2.0999999046325701</v>
      </c>
      <c r="C3" s="1">
        <v>17.200000762939499</v>
      </c>
      <c r="D3" s="1">
        <f t="shared" si="0"/>
        <v>0.33035041136309551</v>
      </c>
      <c r="E3" s="1">
        <f t="shared" si="1"/>
        <v>5.6820273274826203</v>
      </c>
      <c r="F3" s="4">
        <f t="shared" ref="F3:F28" si="2">SLOPE(B1:B5,E1:E5)*1000</f>
        <v>461.29421802737824</v>
      </c>
      <c r="G3" s="4"/>
    </row>
    <row r="4" spans="1:25" x14ac:dyDescent="0.25">
      <c r="A4" s="1">
        <v>6</v>
      </c>
      <c r="B4" s="1">
        <v>3.0999999046325701</v>
      </c>
      <c r="C4" s="1">
        <v>17.300001144409201</v>
      </c>
      <c r="D4" s="1">
        <f t="shared" si="0"/>
        <v>0.4590200407305064</v>
      </c>
      <c r="E4" s="1">
        <f t="shared" si="1"/>
        <v>7.9410472299445187</v>
      </c>
      <c r="F4" s="4">
        <f t="shared" si="2"/>
        <v>480.41879556327291</v>
      </c>
      <c r="G4" s="4">
        <f t="shared" ref="G4:G27" si="3">SLOPE(B1:B7,E1:E7)*1000</f>
        <v>503.97307254055647</v>
      </c>
    </row>
    <row r="5" spans="1:25" x14ac:dyDescent="0.25">
      <c r="A5" s="1">
        <v>6</v>
      </c>
      <c r="B5" s="1">
        <v>4.0999999046325701</v>
      </c>
      <c r="C5" s="1">
        <v>17.600000381469702</v>
      </c>
      <c r="D5" s="1">
        <f t="shared" si="0"/>
        <v>0.56419049607956784</v>
      </c>
      <c r="E5" s="1">
        <f t="shared" si="1"/>
        <v>9.9297529462219742</v>
      </c>
      <c r="F5" s="4">
        <f t="shared" si="2"/>
        <v>525.22265556831553</v>
      </c>
      <c r="G5" s="4">
        <f t="shared" si="3"/>
        <v>530.50230466745359</v>
      </c>
    </row>
    <row r="6" spans="1:25" x14ac:dyDescent="0.25">
      <c r="A6" s="1">
        <v>6</v>
      </c>
      <c r="B6" s="1">
        <v>5.0999999046325701</v>
      </c>
      <c r="C6" s="1">
        <v>18.100000381469702</v>
      </c>
      <c r="D6" s="1">
        <f t="shared" si="0"/>
        <v>0.64764841306465559</v>
      </c>
      <c r="E6" s="1">
        <f t="shared" si="1"/>
        <v>11.722436523528513</v>
      </c>
      <c r="F6" s="4">
        <f t="shared" si="2"/>
        <v>597.64512563174094</v>
      </c>
      <c r="G6" s="4">
        <f t="shared" si="3"/>
        <v>578.0941620907746</v>
      </c>
    </row>
    <row r="7" spans="1:25" x14ac:dyDescent="0.25">
      <c r="A7" s="1">
        <v>6</v>
      </c>
      <c r="B7" s="1">
        <v>6.0999999046325701</v>
      </c>
      <c r="C7" s="1">
        <v>18.600000381469702</v>
      </c>
      <c r="D7" s="1">
        <f t="shared" si="0"/>
        <v>0.71292628690466442</v>
      </c>
      <c r="E7" s="1">
        <f t="shared" si="1"/>
        <v>13.260429208386537</v>
      </c>
      <c r="F7" s="4">
        <f t="shared" si="2"/>
        <v>651.56850264874959</v>
      </c>
      <c r="G7" s="4">
        <f t="shared" si="3"/>
        <v>639.36844499885444</v>
      </c>
      <c r="Y7" s="5"/>
    </row>
    <row r="8" spans="1:25" x14ac:dyDescent="0.25">
      <c r="A8" s="1">
        <v>6</v>
      </c>
      <c r="B8" s="1">
        <v>7.0999999046325701</v>
      </c>
      <c r="C8" s="1">
        <v>19.100000381469702</v>
      </c>
      <c r="D8" s="1">
        <f t="shared" si="0"/>
        <v>0.76379417812113759</v>
      </c>
      <c r="E8" s="1">
        <f t="shared" si="1"/>
        <v>14.588469093478066</v>
      </c>
      <c r="F8" s="4">
        <f t="shared" si="2"/>
        <v>705.86201691832946</v>
      </c>
      <c r="G8" s="4">
        <f t="shared" si="3"/>
        <v>696.1009842418116</v>
      </c>
      <c r="Y8" s="5"/>
    </row>
    <row r="9" spans="1:25" x14ac:dyDescent="0.25">
      <c r="A9" s="1">
        <v>6</v>
      </c>
      <c r="B9" s="1">
        <v>8.1000003814697301</v>
      </c>
      <c r="C9" s="1">
        <v>20.100000381469702</v>
      </c>
      <c r="D9" s="1">
        <f t="shared" si="0"/>
        <v>0.80355720675255682</v>
      </c>
      <c r="E9" s="1">
        <f t="shared" si="1"/>
        <v>16.151500162259119</v>
      </c>
      <c r="F9" s="4">
        <f t="shared" si="2"/>
        <v>745.59633005449484</v>
      </c>
      <c r="G9" s="4">
        <f t="shared" si="3"/>
        <v>738.28326594753139</v>
      </c>
      <c r="Y9" s="5"/>
    </row>
    <row r="10" spans="1:25" x14ac:dyDescent="0.25">
      <c r="A10" s="1">
        <v>6</v>
      </c>
      <c r="B10" s="1">
        <v>9.1000003814697301</v>
      </c>
      <c r="C10" s="1">
        <v>20.780723571777301</v>
      </c>
      <c r="D10" s="1">
        <f t="shared" si="0"/>
        <v>0.83486239592542688</v>
      </c>
      <c r="E10" s="1">
        <f t="shared" si="1"/>
        <v>17.349044670197991</v>
      </c>
      <c r="F10" s="4">
        <f t="shared" si="2"/>
        <v>767.20141854144754</v>
      </c>
      <c r="G10" s="4">
        <f t="shared" si="3"/>
        <v>763.02501113952178</v>
      </c>
      <c r="Y10" s="5"/>
    </row>
    <row r="11" spans="1:25" x14ac:dyDescent="0.25">
      <c r="A11" s="1">
        <v>6</v>
      </c>
      <c r="B11" s="1">
        <v>10.1000003814697</v>
      </c>
      <c r="C11" s="1">
        <v>21.600000381469702</v>
      </c>
      <c r="D11" s="1">
        <f t="shared" si="0"/>
        <v>0.85973795517527973</v>
      </c>
      <c r="E11" s="1">
        <f t="shared" si="1"/>
        <v>18.570340159750025</v>
      </c>
      <c r="F11" s="4">
        <f t="shared" si="2"/>
        <v>798.74890668477894</v>
      </c>
      <c r="G11" s="4">
        <f t="shared" si="3"/>
        <v>808.06160773481383</v>
      </c>
      <c r="Y11" s="5"/>
    </row>
    <row r="12" spans="1:25" x14ac:dyDescent="0.25">
      <c r="A12" s="1">
        <v>6</v>
      </c>
      <c r="B12" s="1">
        <v>11.1000003814697</v>
      </c>
      <c r="C12" s="1">
        <v>22.600000381469702</v>
      </c>
      <c r="D12" s="1">
        <f t="shared" si="0"/>
        <v>0.8797065204122051</v>
      </c>
      <c r="E12" s="1">
        <f t="shared" si="1"/>
        <v>19.881367696897218</v>
      </c>
      <c r="F12" s="4">
        <f t="shared" si="2"/>
        <v>848.6658315968466</v>
      </c>
      <c r="G12" s="4">
        <f t="shared" si="3"/>
        <v>889.75934953727767</v>
      </c>
      <c r="Y12" s="5"/>
    </row>
    <row r="13" spans="1:25" x14ac:dyDescent="0.25">
      <c r="A13" s="1">
        <v>6</v>
      </c>
      <c r="B13" s="1">
        <v>12.1000003814697</v>
      </c>
      <c r="C13" s="1">
        <v>23.600000381469702</v>
      </c>
      <c r="D13" s="1">
        <f t="shared" si="0"/>
        <v>0.89590312477372858</v>
      </c>
      <c r="E13" s="1">
        <f t="shared" si="1"/>
        <v>21.143314086419892</v>
      </c>
      <c r="F13" s="4">
        <f t="shared" si="2"/>
        <v>964.57446799682077</v>
      </c>
      <c r="G13" s="4">
        <f t="shared" si="3"/>
        <v>939.73055608739776</v>
      </c>
      <c r="Y13" s="5"/>
    </row>
    <row r="14" spans="1:25" x14ac:dyDescent="0.25">
      <c r="A14" s="1">
        <v>6</v>
      </c>
      <c r="B14" s="1">
        <v>13.1000003814697</v>
      </c>
      <c r="C14" s="1">
        <v>24.100000381469702</v>
      </c>
      <c r="D14" s="1">
        <f t="shared" si="0"/>
        <v>0.9091743267511615</v>
      </c>
      <c r="E14" s="1">
        <f t="shared" si="1"/>
        <v>21.91110162152545</v>
      </c>
      <c r="F14" s="4">
        <f t="shared" si="2"/>
        <v>1062.9314739656693</v>
      </c>
      <c r="G14" s="4">
        <f t="shared" si="3"/>
        <v>1026.6958918276632</v>
      </c>
      <c r="Y14" s="5"/>
    </row>
    <row r="15" spans="1:25" x14ac:dyDescent="0.25">
      <c r="A15" s="1">
        <v>6</v>
      </c>
      <c r="B15" s="1">
        <v>14.1000003814697</v>
      </c>
      <c r="C15" s="1">
        <v>24.600000381469702</v>
      </c>
      <c r="D15" s="1">
        <f t="shared" si="0"/>
        <v>0.9201546394452752</v>
      </c>
      <c r="E15" s="1">
        <f t="shared" si="1"/>
        <v>22.635804481364886</v>
      </c>
      <c r="F15" s="4">
        <f t="shared" si="2"/>
        <v>1167.2844153894966</v>
      </c>
      <c r="G15" s="4">
        <f t="shared" si="3"/>
        <v>1089.2255992115038</v>
      </c>
      <c r="Y15" s="5"/>
    </row>
    <row r="16" spans="1:25" x14ac:dyDescent="0.25">
      <c r="A16" s="1">
        <v>6</v>
      </c>
      <c r="B16" s="1">
        <v>15.1000003814697</v>
      </c>
      <c r="C16" s="1">
        <v>25.600000381469702</v>
      </c>
      <c r="D16" s="1">
        <f t="shared" si="0"/>
        <v>0.92932315944462141</v>
      </c>
      <c r="E16" s="1">
        <f t="shared" si="1"/>
        <v>23.790673236290935</v>
      </c>
      <c r="F16" s="4">
        <f t="shared" si="2"/>
        <v>1086.6638726775911</v>
      </c>
      <c r="G16" s="4">
        <f t="shared" si="3"/>
        <v>1082.0668900643461</v>
      </c>
      <c r="Y16" s="5"/>
    </row>
    <row r="17" spans="1:25" x14ac:dyDescent="0.25">
      <c r="A17" s="1">
        <v>6</v>
      </c>
      <c r="B17" s="1">
        <v>16.100000381469702</v>
      </c>
      <c r="C17" s="1">
        <v>26.100000381469702</v>
      </c>
      <c r="D17" s="1">
        <f t="shared" si="0"/>
        <v>0.9370447783114777</v>
      </c>
      <c r="E17" s="1">
        <f t="shared" si="1"/>
        <v>24.45686907138376</v>
      </c>
      <c r="F17" s="4">
        <f t="shared" si="2"/>
        <v>1008.6349568020656</v>
      </c>
      <c r="G17" s="4">
        <f t="shared" si="3"/>
        <v>931.38362098644711</v>
      </c>
      <c r="Y17" s="5"/>
    </row>
    <row r="18" spans="1:25" x14ac:dyDescent="0.25">
      <c r="A18" s="1">
        <v>6</v>
      </c>
      <c r="B18" s="1">
        <v>17.100000381469702</v>
      </c>
      <c r="C18" s="1">
        <v>27.100000381469702</v>
      </c>
      <c r="D18" s="1">
        <f t="shared" si="0"/>
        <v>0.94359998444036097</v>
      </c>
      <c r="E18" s="1">
        <f t="shared" si="1"/>
        <v>25.571559938288587</v>
      </c>
      <c r="F18" s="4">
        <f t="shared" si="2"/>
        <v>840.98634993195662</v>
      </c>
      <c r="G18" s="4">
        <f t="shared" si="3"/>
        <v>904.96743963246581</v>
      </c>
      <c r="Y18" s="5"/>
    </row>
    <row r="19" spans="1:25" x14ac:dyDescent="0.25">
      <c r="A19" s="1">
        <v>6</v>
      </c>
      <c r="B19" s="1">
        <v>18.100000381469702</v>
      </c>
      <c r="C19" s="1">
        <v>28.0999965667725</v>
      </c>
      <c r="D19" s="1">
        <f t="shared" si="0"/>
        <v>0.94920641893093738</v>
      </c>
      <c r="E19" s="1">
        <f t="shared" si="1"/>
        <v>26.67269711311776</v>
      </c>
      <c r="F19" s="4">
        <f t="shared" si="2"/>
        <v>823.89842618345222</v>
      </c>
      <c r="G19" s="4">
        <f t="shared" si="3"/>
        <v>938.31369958694847</v>
      </c>
      <c r="Y19" s="5"/>
    </row>
    <row r="20" spans="1:25" x14ac:dyDescent="0.25">
      <c r="A20" s="1">
        <v>6</v>
      </c>
      <c r="B20" s="1">
        <v>19.100000381469702</v>
      </c>
      <c r="C20" s="1">
        <v>29.834348678588899</v>
      </c>
      <c r="D20" s="1">
        <f t="shared" si="0"/>
        <v>0.95403453027396867</v>
      </c>
      <c r="E20" s="1">
        <f t="shared" si="1"/>
        <v>28.462998827607358</v>
      </c>
      <c r="F20" s="4">
        <f t="shared" si="2"/>
        <v>923.59033486804685</v>
      </c>
      <c r="G20" s="4">
        <f t="shared" si="3"/>
        <v>976.37478407811659</v>
      </c>
      <c r="Y20" s="5"/>
    </row>
    <row r="21" spans="1:25" ht="15.75" customHeight="1" x14ac:dyDescent="0.25">
      <c r="A21" s="1">
        <v>6</v>
      </c>
      <c r="B21" s="1">
        <v>20.100000381469702</v>
      </c>
      <c r="C21" s="1">
        <v>30.221103668212901</v>
      </c>
      <c r="D21" s="1">
        <f t="shared" si="0"/>
        <v>0.95821901488914574</v>
      </c>
      <c r="E21" s="1">
        <f t="shared" si="1"/>
        <v>28.958436185817714</v>
      </c>
      <c r="F21" s="4">
        <f t="shared" si="2"/>
        <v>1117.0978235519719</v>
      </c>
      <c r="G21" s="4">
        <f t="shared" si="3"/>
        <v>1091.7245072050614</v>
      </c>
      <c r="Y21" s="5"/>
    </row>
    <row r="22" spans="1:25" ht="15.75" customHeight="1" x14ac:dyDescent="0.25">
      <c r="A22" s="1">
        <v>6</v>
      </c>
      <c r="B22" s="1">
        <v>21.100000381469702</v>
      </c>
      <c r="C22" s="1">
        <v>30.736766815185501</v>
      </c>
      <c r="D22" s="1">
        <f t="shared" si="0"/>
        <v>0.96186724115442546</v>
      </c>
      <c r="E22" s="1">
        <f t="shared" si="1"/>
        <v>29.564689098529374</v>
      </c>
      <c r="F22" s="4">
        <f t="shared" si="2"/>
        <v>1554.8505284860501</v>
      </c>
      <c r="G22" s="4">
        <f t="shared" si="3"/>
        <v>1239.7296834278891</v>
      </c>
      <c r="Y22" s="5"/>
    </row>
    <row r="23" spans="1:25" ht="15.75" customHeight="1" x14ac:dyDescent="0.25">
      <c r="A23" s="1">
        <v>6</v>
      </c>
      <c r="B23" s="1">
        <v>22.100000381469702</v>
      </c>
      <c r="C23" s="1">
        <v>31.381353378295898</v>
      </c>
      <c r="D23" s="1">
        <f t="shared" si="0"/>
        <v>0.96506550332695862</v>
      </c>
      <c r="E23" s="1">
        <f t="shared" si="1"/>
        <v>30.285061593106285</v>
      </c>
      <c r="F23" s="4">
        <f t="shared" si="2"/>
        <v>1390.409560052412</v>
      </c>
      <c r="G23" s="4">
        <f t="shared" si="3"/>
        <v>1393.7744530323585</v>
      </c>
      <c r="Y23" s="5"/>
    </row>
    <row r="24" spans="1:25" ht="15.75" customHeight="1" x14ac:dyDescent="0.25">
      <c r="A24" s="1">
        <v>6</v>
      </c>
      <c r="B24" s="1">
        <v>23.100000381469702</v>
      </c>
      <c r="C24" s="1">
        <v>32.0259399414062</v>
      </c>
      <c r="D24" s="1">
        <f t="shared" si="0"/>
        <v>0.96788370393089296</v>
      </c>
      <c r="E24" s="1">
        <f t="shared" si="1"/>
        <v>30.997385372356558</v>
      </c>
      <c r="F24" s="4">
        <f t="shared" si="2"/>
        <v>1271.518296066735</v>
      </c>
      <c r="G24" s="4">
        <f t="shared" si="3"/>
        <v>1293.003761640533</v>
      </c>
      <c r="Y24" s="5"/>
    </row>
    <row r="25" spans="1:25" ht="15.75" customHeight="1" x14ac:dyDescent="0.25">
      <c r="A25" s="1">
        <v>6</v>
      </c>
      <c r="B25" s="1">
        <v>24.100000381469702</v>
      </c>
      <c r="C25" s="1">
        <v>32.799430847167997</v>
      </c>
      <c r="D25" s="1">
        <f t="shared" si="0"/>
        <v>0.97037888952552454</v>
      </c>
      <c r="E25" s="1">
        <f t="shared" si="1"/>
        <v>31.827875282544117</v>
      </c>
      <c r="F25" s="4">
        <f t="shared" si="2"/>
        <v>1214.8901545494778</v>
      </c>
      <c r="G25" s="4">
        <f t="shared" si="3"/>
        <v>1238.2501126957536</v>
      </c>
      <c r="Y25" s="5"/>
    </row>
    <row r="26" spans="1:25" ht="15.75" customHeight="1" x14ac:dyDescent="0.25">
      <c r="A26" s="1">
        <v>6</v>
      </c>
      <c r="B26" s="1">
        <v>25.100000381469702</v>
      </c>
      <c r="C26" s="1">
        <v>33.6373901367188</v>
      </c>
      <c r="D26" s="1">
        <f t="shared" si="0"/>
        <v>0.97259794319666604</v>
      </c>
      <c r="E26" s="1">
        <f t="shared" si="1"/>
        <v>32.715656461476527</v>
      </c>
      <c r="F26" s="4">
        <f t="shared" si="2"/>
        <v>1187.6079630630252</v>
      </c>
      <c r="G26" s="4">
        <f t="shared" si="3"/>
        <v>1212.6310496037406</v>
      </c>
      <c r="Y26" s="5"/>
    </row>
    <row r="27" spans="1:25" ht="15.75" customHeight="1" x14ac:dyDescent="0.25">
      <c r="A27" s="1">
        <v>6</v>
      </c>
      <c r="B27" s="1">
        <v>26.100000381469702</v>
      </c>
      <c r="C27" s="1">
        <v>34.410881042480497</v>
      </c>
      <c r="D27" s="1">
        <f t="shared" si="0"/>
        <v>0.97457965179443506</v>
      </c>
      <c r="E27" s="1">
        <f t="shared" si="1"/>
        <v>33.536144464320373</v>
      </c>
      <c r="F27" s="4">
        <f t="shared" si="2"/>
        <v>1190.7841584752355</v>
      </c>
      <c r="G27" s="4">
        <f t="shared" si="3"/>
        <v>1187.6079630630252</v>
      </c>
      <c r="Y27" s="5"/>
    </row>
    <row r="28" spans="1:25" ht="15.75" customHeight="1" x14ac:dyDescent="0.25">
      <c r="A28" s="1">
        <v>6</v>
      </c>
      <c r="B28" s="1">
        <v>27.100000381469702</v>
      </c>
      <c r="C28" s="1">
        <v>35.184371948242202</v>
      </c>
      <c r="D28" s="1">
        <f t="shared" si="0"/>
        <v>0.97635630578095911</v>
      </c>
      <c r="E28" s="1">
        <f t="shared" si="1"/>
        <v>34.352483416608962</v>
      </c>
      <c r="F28" s="4">
        <f t="shared" si="2"/>
        <v>1221.8736441377528</v>
      </c>
      <c r="G28" s="4"/>
      <c r="Y28" s="5"/>
    </row>
    <row r="29" spans="1:25" ht="15.75" customHeight="1" x14ac:dyDescent="0.25">
      <c r="Y29" s="5"/>
    </row>
    <row r="30" spans="1:25" ht="15.75" customHeight="1" x14ac:dyDescent="0.25">
      <c r="Y30" s="5"/>
    </row>
    <row r="31" spans="1:25" ht="15.75" customHeight="1" x14ac:dyDescent="0.25">
      <c r="Y31" s="5"/>
    </row>
    <row r="32" spans="1:25" ht="15.75" customHeight="1" x14ac:dyDescent="0.25">
      <c r="Y32" s="5"/>
    </row>
    <row r="33" spans="25:25" ht="15.75" customHeight="1" x14ac:dyDescent="0.25">
      <c r="Y33" s="5"/>
    </row>
    <row r="34" spans="25:25" ht="15.75" customHeight="1" x14ac:dyDescent="0.25">
      <c r="Y34" s="5"/>
    </row>
    <row r="35" spans="25:25" ht="15.75" customHeight="1" x14ac:dyDescent="0.25"/>
    <row r="36" spans="25:25" ht="15.75" customHeight="1" x14ac:dyDescent="0.25"/>
    <row r="37" spans="25:25" ht="15.75" customHeight="1" x14ac:dyDescent="0.25"/>
    <row r="38" spans="25:25" ht="15.75" customHeight="1" x14ac:dyDescent="0.25"/>
    <row r="39" spans="25:25" ht="15.75" customHeight="1" x14ac:dyDescent="0.25"/>
    <row r="40" spans="25:25" ht="15.75" customHeight="1" x14ac:dyDescent="0.25"/>
    <row r="41" spans="25:25" ht="15.75" customHeight="1" x14ac:dyDescent="0.25"/>
    <row r="42" spans="25:25" ht="15.75" customHeight="1" x14ac:dyDescent="0.25"/>
    <row r="43" spans="25:25" ht="15.75" customHeight="1" x14ac:dyDescent="0.25"/>
    <row r="44" spans="25:25" ht="15.75" customHeight="1" x14ac:dyDescent="0.25"/>
    <row r="45" spans="25:25" ht="15.75" customHeight="1" x14ac:dyDescent="0.25"/>
    <row r="46" spans="25:25" ht="15.75" customHeight="1" x14ac:dyDescent="0.25"/>
    <row r="47" spans="25:25" ht="15.75" customHeight="1" x14ac:dyDescent="0.25"/>
    <row r="48" spans="25:2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CA6B-6B0D-49CE-8882-783BB8014533}">
  <dimension ref="A1:G33"/>
  <sheetViews>
    <sheetView workbookViewId="0">
      <selection activeCell="E2" activeCellId="1" sqref="B2:B33 E2:F33"/>
    </sheetView>
  </sheetViews>
  <sheetFormatPr defaultRowHeight="15" x14ac:dyDescent="0.25"/>
  <cols>
    <col min="3" max="5" width="14.5703125" customWidth="1"/>
    <col min="6" max="7" width="13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>
        <v>5</v>
      </c>
      <c r="B2">
        <v>-0.20000000298023199</v>
      </c>
      <c r="C2">
        <v>9.1542200000000005</v>
      </c>
      <c r="D2" s="1">
        <f t="shared" ref="D2:D33" si="0">B2/SQRT(A2*A2+B2*B2)</f>
        <v>-3.9968038943490311E-2</v>
      </c>
      <c r="E2" s="1">
        <f>C2*D2</f>
        <v>-0.36587622145727788</v>
      </c>
      <c r="F2" s="4"/>
      <c r="G2" s="4"/>
    </row>
    <row r="3" spans="1:7" x14ac:dyDescent="0.25">
      <c r="A3">
        <v>5</v>
      </c>
      <c r="B3">
        <v>0.80000001192092896</v>
      </c>
      <c r="C3">
        <v>8.8048199999999994</v>
      </c>
      <c r="D3" s="1">
        <f>B3/SQRT(A3*A3+B3*B3)</f>
        <v>0.15799050340215057</v>
      </c>
      <c r="E3" s="1">
        <f t="shared" ref="E3:E33" si="1">C3*D3</f>
        <v>1.3910779441653234</v>
      </c>
      <c r="F3" s="4">
        <f>SLOPE(B1:B5,E1:E5)*1000</f>
        <v>689.59476638172293</v>
      </c>
      <c r="G3" s="4"/>
    </row>
    <row r="4" spans="1:7" x14ac:dyDescent="0.25">
      <c r="A4">
        <v>5</v>
      </c>
      <c r="B4">
        <v>1.79999995231628</v>
      </c>
      <c r="C4">
        <v>8.4204799999999995</v>
      </c>
      <c r="D4" s="1">
        <f t="shared" si="0"/>
        <v>0.33871946032921962</v>
      </c>
      <c r="E4" s="1">
        <f t="shared" si="1"/>
        <v>2.8521804413129872</v>
      </c>
      <c r="F4" s="4">
        <f>SLOPE(B2:B6,E2:E6)*1000</f>
        <v>767.38917108036344</v>
      </c>
      <c r="G4" s="4">
        <f t="shared" ref="G4:G22" si="2">SLOPE(B1:B7,E1:E7)*1000</f>
        <v>847.485815920037</v>
      </c>
    </row>
    <row r="5" spans="1:7" x14ac:dyDescent="0.25">
      <c r="A5">
        <v>5</v>
      </c>
      <c r="B5">
        <v>2.7999999523162802</v>
      </c>
      <c r="C5">
        <v>8.0361399999999996</v>
      </c>
      <c r="D5" s="1">
        <f t="shared" si="0"/>
        <v>0.48860336259744419</v>
      </c>
      <c r="E5" s="1">
        <f t="shared" si="1"/>
        <v>3.9264850263038249</v>
      </c>
      <c r="F5" s="4">
        <f>SLOPE(B3:B7,E3:E7)*1000</f>
        <v>985.17111950278627</v>
      </c>
      <c r="G5" s="4">
        <f t="shared" si="2"/>
        <v>928.19016959299108</v>
      </c>
    </row>
    <row r="6" spans="1:7" x14ac:dyDescent="0.25">
      <c r="A6">
        <v>5</v>
      </c>
      <c r="B6">
        <v>3.7999999523162802</v>
      </c>
      <c r="C6">
        <v>7.8265099999999999</v>
      </c>
      <c r="D6" s="1">
        <f t="shared" si="0"/>
        <v>0.60508326272068069</v>
      </c>
      <c r="E6" s="1">
        <f t="shared" si="1"/>
        <v>4.7356902065160345</v>
      </c>
      <c r="F6" s="4">
        <f>SLOPE(B4:B8,E4:E8)*1000</f>
        <v>1280.8890730121309</v>
      </c>
      <c r="G6" s="4">
        <f t="shared" si="2"/>
        <v>1173.023159754955</v>
      </c>
    </row>
    <row r="7" spans="1:7" x14ac:dyDescent="0.25">
      <c r="A7">
        <v>5</v>
      </c>
      <c r="B7">
        <v>4.8000001907348597</v>
      </c>
      <c r="C7">
        <v>7.7915700000000001</v>
      </c>
      <c r="D7" s="1">
        <f t="shared" si="0"/>
        <v>0.69253184251045719</v>
      </c>
      <c r="E7" s="1">
        <f t="shared" si="1"/>
        <v>5.3959103281492027</v>
      </c>
      <c r="F7" s="4">
        <f>SLOPE(B5:B9,E5:E9)*1000</f>
        <v>1558.2782735856103</v>
      </c>
      <c r="G7" s="4">
        <f t="shared" si="2"/>
        <v>1459.0685620797788</v>
      </c>
    </row>
    <row r="8" spans="1:7" x14ac:dyDescent="0.25">
      <c r="A8">
        <v>5</v>
      </c>
      <c r="B8">
        <v>5.8000001907348597</v>
      </c>
      <c r="C8">
        <v>7.8614499999999996</v>
      </c>
      <c r="D8" s="1">
        <f t="shared" si="0"/>
        <v>0.75740997221946693</v>
      </c>
      <c r="E8" s="1">
        <f t="shared" si="1"/>
        <v>5.9543406261047283</v>
      </c>
      <c r="F8" s="4">
        <f t="shared" ref="F8:F21" si="3">SLOPE(B6:B10,E6:E10)*1000</f>
        <v>1769.3461994821891</v>
      </c>
      <c r="G8" s="4">
        <f t="shared" si="2"/>
        <v>1705.6069004120368</v>
      </c>
    </row>
    <row r="9" spans="1:7" x14ac:dyDescent="0.25">
      <c r="A9">
        <v>5</v>
      </c>
      <c r="B9">
        <v>6.8000001907348597</v>
      </c>
      <c r="C9">
        <v>8.0710800000000003</v>
      </c>
      <c r="D9" s="1">
        <f t="shared" si="0"/>
        <v>0.80565102057962579</v>
      </c>
      <c r="E9" s="1">
        <f t="shared" si="1"/>
        <v>6.5024738391798067</v>
      </c>
      <c r="F9" s="4">
        <f t="shared" si="3"/>
        <v>1920.1909061026467</v>
      </c>
      <c r="G9" s="4">
        <f t="shared" si="2"/>
        <v>1905.5886955406447</v>
      </c>
    </row>
    <row r="10" spans="1:7" x14ac:dyDescent="0.25">
      <c r="A10">
        <v>5</v>
      </c>
      <c r="B10">
        <v>7.8000001907348597</v>
      </c>
      <c r="C10">
        <v>8.3156599999999994</v>
      </c>
      <c r="D10" s="1">
        <f t="shared" si="0"/>
        <v>0.84187914495951321</v>
      </c>
      <c r="E10" s="1">
        <f t="shared" si="1"/>
        <v>7.0007807305740251</v>
      </c>
      <c r="F10" s="4">
        <f t="shared" si="3"/>
        <v>2072.2419956403169</v>
      </c>
      <c r="G10" s="4">
        <f t="shared" si="2"/>
        <v>2033.4342472903618</v>
      </c>
    </row>
    <row r="11" spans="1:7" x14ac:dyDescent="0.25">
      <c r="A11">
        <v>5</v>
      </c>
      <c r="B11">
        <v>8.8000001907348597</v>
      </c>
      <c r="C11">
        <v>8.5951799999999992</v>
      </c>
      <c r="D11" s="1">
        <f t="shared" si="0"/>
        <v>0.86945656199179244</v>
      </c>
      <c r="E11" s="1">
        <f t="shared" si="1"/>
        <v>7.4731356525006136</v>
      </c>
      <c r="F11" s="4">
        <f t="shared" si="3"/>
        <v>2166.8511662835317</v>
      </c>
      <c r="G11" s="4">
        <f t="shared" si="2"/>
        <v>2104.5476986750878</v>
      </c>
    </row>
    <row r="12" spans="1:7" x14ac:dyDescent="0.25">
      <c r="A12">
        <v>5</v>
      </c>
      <c r="B12">
        <v>9.8000001907348597</v>
      </c>
      <c r="C12">
        <v>8.8397600000000001</v>
      </c>
      <c r="D12" s="1">
        <f t="shared" si="0"/>
        <v>0.89076187328900536</v>
      </c>
      <c r="E12" s="1">
        <f t="shared" si="1"/>
        <v>7.8741211770252182</v>
      </c>
      <c r="F12" s="4">
        <f t="shared" si="3"/>
        <v>2176.4917886781823</v>
      </c>
      <c r="G12" s="4">
        <f t="shared" si="2"/>
        <v>2199.7408518123443</v>
      </c>
    </row>
    <row r="13" spans="1:7" x14ac:dyDescent="0.25">
      <c r="A13">
        <v>5</v>
      </c>
      <c r="B13">
        <v>10.800000190734901</v>
      </c>
      <c r="C13">
        <v>9.2241</v>
      </c>
      <c r="D13" s="1">
        <f t="shared" si="0"/>
        <v>0.90746690994856982</v>
      </c>
      <c r="E13" s="1">
        <f t="shared" si="1"/>
        <v>8.3705655240566035</v>
      </c>
      <c r="F13" s="4">
        <f t="shared" si="3"/>
        <v>2243.0248535656442</v>
      </c>
      <c r="G13" s="4">
        <f t="shared" si="2"/>
        <v>2319.4198586568559</v>
      </c>
    </row>
    <row r="14" spans="1:7" x14ac:dyDescent="0.25">
      <c r="A14">
        <v>5</v>
      </c>
      <c r="B14">
        <v>11.800000190734901</v>
      </c>
      <c r="C14">
        <v>9.6084300000000002</v>
      </c>
      <c r="D14" s="1">
        <f t="shared" si="0"/>
        <v>0.92075172294000651</v>
      </c>
      <c r="E14" s="1">
        <f t="shared" si="1"/>
        <v>8.846978477248447</v>
      </c>
      <c r="F14" s="4">
        <f t="shared" si="3"/>
        <v>2390.0262683733595</v>
      </c>
      <c r="G14" s="4">
        <f t="shared" si="2"/>
        <v>2438.6101303129903</v>
      </c>
    </row>
    <row r="15" spans="1:7" x14ac:dyDescent="0.25">
      <c r="A15">
        <v>5</v>
      </c>
      <c r="B15">
        <v>12.800000190734901</v>
      </c>
      <c r="C15">
        <v>9.88795</v>
      </c>
      <c r="D15" s="1">
        <f t="shared" si="0"/>
        <v>0.93145735131712692</v>
      </c>
      <c r="E15" s="1">
        <f t="shared" si="1"/>
        <v>9.210203716956185</v>
      </c>
      <c r="F15" s="4">
        <f t="shared" si="3"/>
        <v>2664.1328463989571</v>
      </c>
      <c r="G15" s="4">
        <f t="shared" si="2"/>
        <v>2596.5330723448628</v>
      </c>
    </row>
    <row r="16" spans="1:7" x14ac:dyDescent="0.25">
      <c r="A16">
        <v>5</v>
      </c>
      <c r="B16">
        <v>13.800000190734901</v>
      </c>
      <c r="C16">
        <v>10.1325</v>
      </c>
      <c r="D16" s="1">
        <f t="shared" si="0"/>
        <v>0.94019062616571158</v>
      </c>
      <c r="E16" s="1">
        <f t="shared" si="1"/>
        <v>9.5264815196240722</v>
      </c>
      <c r="F16" s="4">
        <f t="shared" si="3"/>
        <v>2955.1991359689005</v>
      </c>
      <c r="G16" s="4">
        <f t="shared" si="2"/>
        <v>2839.9665468591115</v>
      </c>
    </row>
    <row r="17" spans="1:7" x14ac:dyDescent="0.25">
      <c r="A17">
        <v>5</v>
      </c>
      <c r="B17">
        <v>14.800000190734901</v>
      </c>
      <c r="C17">
        <v>10.446999999999999</v>
      </c>
      <c r="D17" s="1">
        <f t="shared" si="0"/>
        <v>0.94739526058741308</v>
      </c>
      <c r="E17" s="1">
        <f t="shared" si="1"/>
        <v>9.8974382873567031</v>
      </c>
      <c r="F17" s="4">
        <f t="shared" si="3"/>
        <v>3048.3256908620938</v>
      </c>
      <c r="G17" s="4">
        <f t="shared" si="2"/>
        <v>2998.9552954255887</v>
      </c>
    </row>
    <row r="18" spans="1:7" x14ac:dyDescent="0.25">
      <c r="A18">
        <v>5</v>
      </c>
      <c r="B18">
        <v>15.800000190734901</v>
      </c>
      <c r="C18">
        <v>10.691599999999999</v>
      </c>
      <c r="D18" s="1">
        <f t="shared" si="0"/>
        <v>0.95340009797948544</v>
      </c>
      <c r="E18" s="1">
        <f t="shared" si="1"/>
        <v>10.193372487557466</v>
      </c>
      <c r="F18" s="4">
        <f t="shared" si="3"/>
        <v>3031.6351225417307</v>
      </c>
      <c r="G18" s="4">
        <f t="shared" si="2"/>
        <v>2977.1620967132799</v>
      </c>
    </row>
    <row r="19" spans="1:7" x14ac:dyDescent="0.25">
      <c r="A19">
        <v>5</v>
      </c>
      <c r="B19">
        <v>16.799999237060501</v>
      </c>
      <c r="C19">
        <v>10.9711</v>
      </c>
      <c r="D19" s="1">
        <f t="shared" si="0"/>
        <v>0.95845207489956219</v>
      </c>
      <c r="E19" s="1">
        <f t="shared" si="1"/>
        <v>10.515273558930586</v>
      </c>
      <c r="F19" s="4">
        <f t="shared" si="3"/>
        <v>2964.8981249462681</v>
      </c>
      <c r="G19" s="4">
        <f t="shared" si="2"/>
        <v>2963.269904340902</v>
      </c>
    </row>
    <row r="20" spans="1:7" x14ac:dyDescent="0.25">
      <c r="A20">
        <v>5</v>
      </c>
      <c r="B20">
        <v>17.799999237060501</v>
      </c>
      <c r="C20">
        <v>11.285500000000001</v>
      </c>
      <c r="D20" s="1">
        <f t="shared" si="0"/>
        <v>0.96273899080742975</v>
      </c>
      <c r="E20" s="1">
        <f t="shared" si="1"/>
        <v>10.864990880757249</v>
      </c>
      <c r="F20" s="4">
        <f t="shared" si="3"/>
        <v>2899.372756379239</v>
      </c>
      <c r="G20" s="4">
        <f t="shared" si="2"/>
        <v>2796.0091559606185</v>
      </c>
    </row>
    <row r="21" spans="1:7" x14ac:dyDescent="0.25">
      <c r="A21">
        <v>5</v>
      </c>
      <c r="B21">
        <v>18.799999237060501</v>
      </c>
      <c r="C21">
        <v>11.6349</v>
      </c>
      <c r="D21" s="1">
        <f t="shared" si="0"/>
        <v>0.96640536260568655</v>
      </c>
      <c r="E21" s="1">
        <f t="shared" si="1"/>
        <v>11.244029753380902</v>
      </c>
      <c r="F21" s="4">
        <f t="shared" si="3"/>
        <v>2618.0694585612268</v>
      </c>
      <c r="G21" s="4">
        <f t="shared" si="2"/>
        <v>2812.5419060295271</v>
      </c>
    </row>
    <row r="22" spans="1:7" x14ac:dyDescent="0.25">
      <c r="A22">
        <v>5</v>
      </c>
      <c r="B22">
        <v>19.799999237060501</v>
      </c>
      <c r="C22">
        <v>11.9145</v>
      </c>
      <c r="D22" s="1">
        <f t="shared" si="0"/>
        <v>0.96956366863211207</v>
      </c>
      <c r="E22" s="1">
        <f t="shared" si="1"/>
        <v>11.551866329917299</v>
      </c>
      <c r="F22" s="4">
        <f>SLOPE(B20:B24,E20:E24)*1000</f>
        <v>2770.5989547242357</v>
      </c>
      <c r="G22" s="4">
        <f t="shared" si="2"/>
        <v>2827.0110181620021</v>
      </c>
    </row>
    <row r="23" spans="1:7" x14ac:dyDescent="0.25">
      <c r="A23">
        <v>5</v>
      </c>
      <c r="B23">
        <v>20.799999237060501</v>
      </c>
      <c r="C23">
        <v>12.412000000000001</v>
      </c>
      <c r="D23" s="1">
        <f t="shared" si="0"/>
        <v>0.97230237285600818</v>
      </c>
      <c r="E23" s="1">
        <f t="shared" si="1"/>
        <v>12.068217051888775</v>
      </c>
      <c r="F23" s="4">
        <f t="shared" ref="F23:F32" si="4">SLOPE(B21:B25,E21:E25)*1000</f>
        <v>2877.6606318792019</v>
      </c>
      <c r="G23" s="4">
        <f t="shared" ref="G23:G32" si="5">SLOPE(B20:B26,E20:E26)*1000</f>
        <v>2925.8439016620887</v>
      </c>
    </row>
    <row r="24" spans="1:7" x14ac:dyDescent="0.25">
      <c r="A24">
        <v>5</v>
      </c>
      <c r="B24">
        <v>21.799999237060501</v>
      </c>
      <c r="C24">
        <v>12.5434</v>
      </c>
      <c r="D24" s="1">
        <f t="shared" si="0"/>
        <v>0.9746917385318814</v>
      </c>
      <c r="E24" s="1">
        <f t="shared" si="1"/>
        <v>12.225948353100801</v>
      </c>
      <c r="F24" s="4">
        <f t="shared" si="4"/>
        <v>3036.7442173224258</v>
      </c>
      <c r="G24" s="4">
        <f t="shared" si="5"/>
        <v>3096.7921360671016</v>
      </c>
    </row>
    <row r="25" spans="1:7" x14ac:dyDescent="0.25">
      <c r="A25">
        <v>5</v>
      </c>
      <c r="B25">
        <v>22.799999237060501</v>
      </c>
      <c r="C25">
        <v>12.912000000000001</v>
      </c>
      <c r="D25" s="1">
        <f t="shared" si="0"/>
        <v>0.97678808684504925</v>
      </c>
      <c r="E25" s="1">
        <f t="shared" si="1"/>
        <v>12.612287777343276</v>
      </c>
      <c r="F25" s="4">
        <f t="shared" si="4"/>
        <v>3489.1198516419249</v>
      </c>
      <c r="G25" s="4">
        <f t="shared" si="5"/>
        <v>3418.5518217286944</v>
      </c>
    </row>
    <row r="26" spans="1:7" x14ac:dyDescent="0.25">
      <c r="A26">
        <v>5</v>
      </c>
      <c r="B26">
        <v>23.799999237060501</v>
      </c>
      <c r="C26">
        <v>13.1723</v>
      </c>
      <c r="D26" s="1">
        <f t="shared" si="0"/>
        <v>0.9786369514838712</v>
      </c>
      <c r="E26" s="1">
        <f t="shared" si="1"/>
        <v>12.890899516030997</v>
      </c>
      <c r="F26" s="4">
        <f t="shared" si="4"/>
        <v>3675.4556249513971</v>
      </c>
      <c r="G26" s="4">
        <f t="shared" si="5"/>
        <v>3770.2489458256659</v>
      </c>
    </row>
    <row r="27" spans="1:7" x14ac:dyDescent="0.25">
      <c r="A27">
        <v>5</v>
      </c>
      <c r="B27">
        <v>24.799999237060501</v>
      </c>
      <c r="C27">
        <v>13.4169</v>
      </c>
      <c r="D27" s="1">
        <f t="shared" si="0"/>
        <v>0.98027544034535519</v>
      </c>
      <c r="E27" s="1">
        <f t="shared" si="1"/>
        <v>13.152257555569596</v>
      </c>
      <c r="F27" s="4">
        <f t="shared" si="4"/>
        <v>4044.234695838883</v>
      </c>
      <c r="G27" s="4">
        <f t="shared" si="5"/>
        <v>3776.1132507336233</v>
      </c>
    </row>
    <row r="28" spans="1:7" x14ac:dyDescent="0.25">
      <c r="A28">
        <v>5</v>
      </c>
      <c r="B28">
        <v>25.799999237060501</v>
      </c>
      <c r="C28">
        <v>13.521699999999999</v>
      </c>
      <c r="D28" s="1">
        <f t="shared" si="0"/>
        <v>0.98173402157693479</v>
      </c>
      <c r="E28" s="1">
        <f t="shared" si="1"/>
        <v>13.274712919556839</v>
      </c>
      <c r="F28" s="4">
        <f t="shared" si="4"/>
        <v>4065.4687882191542</v>
      </c>
      <c r="G28" s="4">
        <f t="shared" si="5"/>
        <v>4138.284959903991</v>
      </c>
    </row>
    <row r="29" spans="1:7" x14ac:dyDescent="0.25">
      <c r="A29">
        <v>5</v>
      </c>
      <c r="B29">
        <v>26.799999237060501</v>
      </c>
      <c r="C29">
        <v>13.8711</v>
      </c>
      <c r="D29" s="1">
        <f t="shared" si="0"/>
        <v>0.9830378872329556</v>
      </c>
      <c r="E29" s="1">
        <f t="shared" si="1"/>
        <v>13.635816837597051</v>
      </c>
      <c r="F29" s="4">
        <f>SLOPE(B27:B31,E27:E31)*1000</f>
        <v>4140.1418186771889</v>
      </c>
      <c r="G29" s="4">
        <f t="shared" si="5"/>
        <v>4082.2725044258823</v>
      </c>
    </row>
    <row r="30" spans="1:7" x14ac:dyDescent="0.25">
      <c r="A30">
        <v>5</v>
      </c>
      <c r="B30">
        <v>27.799999237060501</v>
      </c>
      <c r="C30">
        <v>14.0807</v>
      </c>
      <c r="D30" s="1">
        <f t="shared" si="0"/>
        <v>0.98420800388167318</v>
      </c>
      <c r="E30" s="1">
        <f t="shared" si="1"/>
        <v>13.858337640256675</v>
      </c>
      <c r="F30" s="4">
        <f t="shared" si="4"/>
        <v>3800.9182807053426</v>
      </c>
      <c r="G30" s="4">
        <f t="shared" si="5"/>
        <v>3839.4561380347609</v>
      </c>
    </row>
    <row r="31" spans="1:7" x14ac:dyDescent="0.25">
      <c r="A31">
        <v>5</v>
      </c>
      <c r="B31">
        <v>28.799999237060501</v>
      </c>
      <c r="C31">
        <v>14.2554</v>
      </c>
      <c r="D31" s="1">
        <f t="shared" si="0"/>
        <v>0.9852619289659883</v>
      </c>
      <c r="E31" s="1">
        <f t="shared" si="1"/>
        <v>14.045302902181749</v>
      </c>
      <c r="F31" s="4">
        <f t="shared" si="4"/>
        <v>3756.8856536207886</v>
      </c>
      <c r="G31" s="4">
        <f t="shared" si="5"/>
        <v>3656.423914255995</v>
      </c>
    </row>
    <row r="32" spans="1:7" x14ac:dyDescent="0.25">
      <c r="A32">
        <v>5</v>
      </c>
      <c r="B32">
        <v>29.799999237060501</v>
      </c>
      <c r="C32">
        <v>14.569900000000001</v>
      </c>
      <c r="D32" s="1">
        <f t="shared" si="0"/>
        <v>0.98621445028281218</v>
      </c>
      <c r="E32" s="1">
        <f t="shared" si="1"/>
        <v>14.369045919175546</v>
      </c>
      <c r="F32" s="4">
        <f t="shared" si="4"/>
        <v>3472.3165885615399</v>
      </c>
      <c r="G32" s="4">
        <f t="shared" si="5"/>
        <v>3756.8856536207886</v>
      </c>
    </row>
    <row r="33" spans="1:7" x14ac:dyDescent="0.25">
      <c r="A33">
        <v>5</v>
      </c>
      <c r="B33">
        <v>30.649999618530298</v>
      </c>
      <c r="C33">
        <v>14.849399999999999</v>
      </c>
      <c r="D33" s="1">
        <f t="shared" si="0"/>
        <v>0.98695377326627709</v>
      </c>
      <c r="E33" s="1">
        <f t="shared" si="1"/>
        <v>14.655671360740254</v>
      </c>
      <c r="F33" s="4">
        <f>SLOPE(B31:B35,E31:E35)*1000</f>
        <v>3032.2005062656581</v>
      </c>
      <c r="G33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FF11-1F51-41C8-8E4B-153EAE01470E}">
  <dimension ref="A1:G33"/>
  <sheetViews>
    <sheetView workbookViewId="0">
      <selection activeCell="E2" activeCellId="1" sqref="B2:B33 E2:F33"/>
    </sheetView>
  </sheetViews>
  <sheetFormatPr defaultRowHeight="15" x14ac:dyDescent="0.25"/>
  <cols>
    <col min="6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</row>
    <row r="2" spans="1:7" x14ac:dyDescent="0.25">
      <c r="A2">
        <v>5</v>
      </c>
      <c r="B2">
        <v>-0.2</v>
      </c>
      <c r="C2">
        <v>27.016263961791999</v>
      </c>
      <c r="D2" s="1">
        <f t="shared" ref="D2:D28" si="0">B2/SQRT(A2*A2+B2*B2)</f>
        <v>-3.9968038348871582E-2</v>
      </c>
      <c r="E2" s="1">
        <f t="shared" ref="E2:E28" si="1">C2*D2</f>
        <v>-1.0797870740681399</v>
      </c>
      <c r="F2" s="4"/>
      <c r="G2" s="4"/>
    </row>
    <row r="3" spans="1:7" x14ac:dyDescent="0.25">
      <c r="A3">
        <v>5</v>
      </c>
      <c r="B3">
        <v>0.8</v>
      </c>
      <c r="C3">
        <v>24.451807022094702</v>
      </c>
      <c r="D3" s="1">
        <f t="shared" si="0"/>
        <v>0.15799050110667287</v>
      </c>
      <c r="E3" s="1">
        <f t="shared" si="1"/>
        <v>3.8631532443844043</v>
      </c>
      <c r="F3" s="4">
        <f>SLOPE(B1:B5,E1:E5)*1000</f>
        <v>310.75569847025605</v>
      </c>
      <c r="G3" s="4"/>
    </row>
    <row r="4" spans="1:7" x14ac:dyDescent="0.25">
      <c r="A4">
        <v>5</v>
      </c>
      <c r="B4">
        <v>1.8</v>
      </c>
      <c r="C4">
        <v>19.084337234497099</v>
      </c>
      <c r="D4" s="1">
        <f t="shared" si="0"/>
        <v>0.33871946827274163</v>
      </c>
      <c r="E4" s="1">
        <f t="shared" si="1"/>
        <v>6.4642365604065422</v>
      </c>
      <c r="F4" s="4">
        <f t="shared" ref="F4:F20" si="2">SLOPE(B2:B6,E2:E6)*1000</f>
        <v>346.18838411097329</v>
      </c>
      <c r="G4" s="4">
        <f t="shared" ref="G4:G20" si="3">SLOPE(B1:B7,E1:E7)*1000</f>
        <v>388.15803809909107</v>
      </c>
    </row>
    <row r="5" spans="1:7" x14ac:dyDescent="0.25">
      <c r="A5">
        <v>5</v>
      </c>
      <c r="B5">
        <v>2.8</v>
      </c>
      <c r="C5">
        <v>16.7584323883057</v>
      </c>
      <c r="D5" s="1">
        <f t="shared" si="0"/>
        <v>0.48860336893184325</v>
      </c>
      <c r="E5" s="1">
        <f t="shared" si="1"/>
        <v>8.1882265229426814</v>
      </c>
      <c r="F5" s="4">
        <f t="shared" si="2"/>
        <v>501.97615070721702</v>
      </c>
      <c r="G5" s="4">
        <f t="shared" si="3"/>
        <v>424.91608615911809</v>
      </c>
    </row>
    <row r="6" spans="1:7" x14ac:dyDescent="0.25">
      <c r="A6">
        <v>5</v>
      </c>
      <c r="B6">
        <v>3.8</v>
      </c>
      <c r="C6">
        <v>17.474096298217798</v>
      </c>
      <c r="D6" s="1">
        <f t="shared" si="0"/>
        <v>0.6050832675335579</v>
      </c>
      <c r="E6" s="1">
        <f t="shared" si="1"/>
        <v>10.573283285321674</v>
      </c>
      <c r="F6" s="4">
        <f t="shared" si="2"/>
        <v>587.06368385456085</v>
      </c>
      <c r="G6" s="4">
        <f t="shared" si="3"/>
        <v>551.49970933427142</v>
      </c>
    </row>
    <row r="7" spans="1:7" x14ac:dyDescent="0.25">
      <c r="A7">
        <v>5</v>
      </c>
      <c r="B7">
        <v>4.8</v>
      </c>
      <c r="C7">
        <v>16.7584323883057</v>
      </c>
      <c r="D7" s="1">
        <f t="shared" si="0"/>
        <v>0.69253182818971348</v>
      </c>
      <c r="E7" s="1">
        <f t="shared" si="1"/>
        <v>11.605747819467053</v>
      </c>
      <c r="F7" s="4">
        <f t="shared" si="2"/>
        <v>609.79429075085557</v>
      </c>
      <c r="G7" s="4">
        <f t="shared" si="3"/>
        <v>625.59967358853453</v>
      </c>
    </row>
    <row r="8" spans="1:7" x14ac:dyDescent="0.25">
      <c r="A8">
        <v>5</v>
      </c>
      <c r="B8">
        <v>5.8</v>
      </c>
      <c r="C8">
        <v>17.3548183441162</v>
      </c>
      <c r="D8" s="1">
        <f t="shared" si="0"/>
        <v>0.75740996160057672</v>
      </c>
      <c r="E8" s="1">
        <f t="shared" si="1"/>
        <v>13.144712295602035</v>
      </c>
      <c r="F8" s="4">
        <f t="shared" si="2"/>
        <v>711.64146348061684</v>
      </c>
      <c r="G8" s="4">
        <f t="shared" si="3"/>
        <v>698.42204805917515</v>
      </c>
    </row>
    <row r="9" spans="1:7" x14ac:dyDescent="0.25">
      <c r="A9">
        <v>5</v>
      </c>
      <c r="B9">
        <v>6.8</v>
      </c>
      <c r="C9">
        <v>18.6072292327881</v>
      </c>
      <c r="D9" s="1">
        <f t="shared" si="0"/>
        <v>0.80565101264942462</v>
      </c>
      <c r="E9" s="1">
        <f t="shared" si="1"/>
        <v>14.990933073995709</v>
      </c>
      <c r="F9" s="4">
        <f t="shared" si="2"/>
        <v>760.32178578341689</v>
      </c>
      <c r="G9" s="4">
        <f t="shared" si="3"/>
        <v>830.02249779498857</v>
      </c>
    </row>
    <row r="10" spans="1:7" x14ac:dyDescent="0.25">
      <c r="A10">
        <v>5</v>
      </c>
      <c r="B10">
        <v>7.8</v>
      </c>
      <c r="C10">
        <v>18.7861442565918</v>
      </c>
      <c r="D10" s="1">
        <f t="shared" si="0"/>
        <v>0.84187913896387379</v>
      </c>
      <c r="E10" s="1">
        <f t="shared" si="1"/>
        <v>15.815662951190628</v>
      </c>
      <c r="F10" s="4">
        <f t="shared" si="2"/>
        <v>960.04468288970111</v>
      </c>
      <c r="G10" s="4">
        <f t="shared" si="3"/>
        <v>928.32186443694445</v>
      </c>
    </row>
    <row r="11" spans="1:7" x14ac:dyDescent="0.25">
      <c r="A11">
        <v>5</v>
      </c>
      <c r="B11">
        <v>8.8000000000000007</v>
      </c>
      <c r="C11">
        <v>19.143976211547901</v>
      </c>
      <c r="D11" s="1">
        <f t="shared" si="0"/>
        <v>0.86945655739276817</v>
      </c>
      <c r="E11" s="1">
        <f t="shared" si="1"/>
        <v>16.644855651701487</v>
      </c>
      <c r="F11" s="4">
        <f t="shared" si="2"/>
        <v>1382.2275764775079</v>
      </c>
      <c r="G11" s="4">
        <f t="shared" si="3"/>
        <v>1137.8552084047219</v>
      </c>
    </row>
    <row r="12" spans="1:7" x14ac:dyDescent="0.25">
      <c r="A12">
        <v>5</v>
      </c>
      <c r="B12">
        <v>9.8000000000000007</v>
      </c>
      <c r="C12">
        <v>19.382530212402301</v>
      </c>
      <c r="D12" s="1">
        <f t="shared" si="0"/>
        <v>0.89076186970823301</v>
      </c>
      <c r="E12" s="1">
        <f t="shared" si="1"/>
        <v>17.265218851675787</v>
      </c>
      <c r="F12" s="4">
        <f t="shared" si="2"/>
        <v>1462.5857055471033</v>
      </c>
      <c r="G12" s="4">
        <f t="shared" si="3"/>
        <v>1430.9260769347677</v>
      </c>
    </row>
    <row r="13" spans="1:7" x14ac:dyDescent="0.25">
      <c r="A13">
        <v>5</v>
      </c>
      <c r="B13">
        <v>10.8</v>
      </c>
      <c r="C13">
        <v>19.680723190307599</v>
      </c>
      <c r="D13" s="1">
        <f t="shared" si="0"/>
        <v>0.90746690711984113</v>
      </c>
      <c r="E13" s="1">
        <f t="shared" si="1"/>
        <v>17.859605003390168</v>
      </c>
      <c r="F13" s="4">
        <f t="shared" si="2"/>
        <v>1535.8127051615618</v>
      </c>
      <c r="G13" s="4">
        <f t="shared" si="3"/>
        <v>1540.6665129971595</v>
      </c>
    </row>
    <row r="14" spans="1:7" x14ac:dyDescent="0.25">
      <c r="A14">
        <v>5</v>
      </c>
      <c r="B14">
        <v>11.8</v>
      </c>
      <c r="C14">
        <v>20.217470169067401</v>
      </c>
      <c r="D14" s="1">
        <f t="shared" si="0"/>
        <v>0.92075172067457067</v>
      </c>
      <c r="E14" s="1">
        <f t="shared" si="1"/>
        <v>18.615270445855611</v>
      </c>
      <c r="F14" s="4">
        <f t="shared" si="2"/>
        <v>1605.0362724290951</v>
      </c>
      <c r="G14" s="4">
        <f t="shared" si="3"/>
        <v>1675.4048013671052</v>
      </c>
    </row>
    <row r="15" spans="1:7" x14ac:dyDescent="0.25">
      <c r="A15">
        <v>5</v>
      </c>
      <c r="B15">
        <v>12.8</v>
      </c>
      <c r="C15">
        <v>20.6349391937256</v>
      </c>
      <c r="D15" s="1">
        <f t="shared" si="0"/>
        <v>0.93145734947961922</v>
      </c>
      <c r="E15" s="1">
        <f t="shared" si="1"/>
        <v>19.220565768060759</v>
      </c>
      <c r="F15" s="4">
        <f t="shared" si="2"/>
        <v>1767.2709959320578</v>
      </c>
      <c r="G15" s="4">
        <f t="shared" si="3"/>
        <v>1768.0667830721213</v>
      </c>
    </row>
    <row r="16" spans="1:7" x14ac:dyDescent="0.25">
      <c r="A16">
        <v>5</v>
      </c>
      <c r="B16">
        <v>13.8</v>
      </c>
      <c r="C16">
        <v>20.933132171630898</v>
      </c>
      <c r="D16" s="1">
        <f t="shared" si="0"/>
        <v>0.94019062465778336</v>
      </c>
      <c r="E16" s="1">
        <f t="shared" si="1"/>
        <v>19.681134612489597</v>
      </c>
      <c r="F16" s="4">
        <f t="shared" si="2"/>
        <v>2016.2620615036699</v>
      </c>
      <c r="G16" s="4">
        <f t="shared" si="3"/>
        <v>1793.1324607746574</v>
      </c>
    </row>
    <row r="17" spans="1:7" x14ac:dyDescent="0.25">
      <c r="A17">
        <v>5</v>
      </c>
      <c r="B17">
        <v>14.8</v>
      </c>
      <c r="C17">
        <v>21.231325149536101</v>
      </c>
      <c r="D17" s="1">
        <f t="shared" si="0"/>
        <v>0.94739525933663959</v>
      </c>
      <c r="E17" s="1">
        <f t="shared" si="1"/>
        <v>20.114456796105273</v>
      </c>
      <c r="F17" s="4">
        <f t="shared" si="2"/>
        <v>1872.1124903223867</v>
      </c>
      <c r="G17" s="4">
        <f t="shared" si="3"/>
        <v>1828.5731254454201</v>
      </c>
    </row>
    <row r="18" spans="1:7" x14ac:dyDescent="0.25">
      <c r="A18">
        <v>5</v>
      </c>
      <c r="B18">
        <v>15.8</v>
      </c>
      <c r="C18">
        <v>21.6487941741943</v>
      </c>
      <c r="D18" s="1">
        <f t="shared" si="0"/>
        <v>0.95340009693181549</v>
      </c>
      <c r="E18" s="1">
        <f t="shared" si="1"/>
        <v>20.639962464133767</v>
      </c>
      <c r="F18" s="4">
        <f t="shared" si="2"/>
        <v>1720.2932048482896</v>
      </c>
      <c r="G18" s="4">
        <f t="shared" si="3"/>
        <v>1687.229008630424</v>
      </c>
    </row>
    <row r="19" spans="1:7" x14ac:dyDescent="0.25">
      <c r="A19">
        <v>5</v>
      </c>
      <c r="B19">
        <v>16.8</v>
      </c>
      <c r="C19">
        <v>22.3048191070557</v>
      </c>
      <c r="D19" s="1">
        <f t="shared" si="0"/>
        <v>0.95845207844127644</v>
      </c>
      <c r="E19" s="1">
        <f t="shared" si="1"/>
        <v>21.37810023241423</v>
      </c>
      <c r="F19" s="4">
        <f t="shared" si="2"/>
        <v>1507.7195306293897</v>
      </c>
      <c r="G19" s="4">
        <f t="shared" si="3"/>
        <v>1561.1798960853248</v>
      </c>
    </row>
    <row r="20" spans="1:7" x14ac:dyDescent="0.25">
      <c r="A20">
        <v>5</v>
      </c>
      <c r="B20">
        <v>17.8</v>
      </c>
      <c r="C20">
        <v>22.781927108764599</v>
      </c>
      <c r="D20" s="1">
        <f t="shared" si="0"/>
        <v>0.96273899382526684</v>
      </c>
      <c r="E20" s="1">
        <f t="shared" si="1"/>
        <v>21.9330495820926</v>
      </c>
      <c r="F20" s="4">
        <f t="shared" si="2"/>
        <v>1436.1031621877316</v>
      </c>
      <c r="G20" s="4">
        <f t="shared" si="3"/>
        <v>1486.6098414033745</v>
      </c>
    </row>
    <row r="21" spans="1:7" x14ac:dyDescent="0.25">
      <c r="A21">
        <v>5</v>
      </c>
      <c r="B21">
        <v>18.8</v>
      </c>
      <c r="C21">
        <v>23.557228088378899</v>
      </c>
      <c r="D21" s="1">
        <f t="shared" si="0"/>
        <v>0.96640536519649056</v>
      </c>
      <c r="E21" s="1">
        <f t="shared" si="1"/>
        <v>22.765831613766835</v>
      </c>
      <c r="F21" s="4">
        <f t="shared" ref="F21:F33" si="4">SLOPE(B19:B23,E19:E23)*1000</f>
        <v>1453.8497944369369</v>
      </c>
      <c r="G21" s="4">
        <f t="shared" ref="G21:G32" si="5">SLOPE(B18:B24,E18:E24)*1000</f>
        <v>1467.7181034320924</v>
      </c>
    </row>
    <row r="22" spans="1:7" x14ac:dyDescent="0.25">
      <c r="A22">
        <v>5</v>
      </c>
      <c r="B22">
        <v>19.8</v>
      </c>
      <c r="C22">
        <v>24.153614044189499</v>
      </c>
      <c r="D22" s="1">
        <f t="shared" si="0"/>
        <v>0.96956367087167661</v>
      </c>
      <c r="E22" s="1">
        <f t="shared" si="1"/>
        <v>23.418466697502055</v>
      </c>
      <c r="F22" s="4">
        <f t="shared" si="4"/>
        <v>1456.9961782128048</v>
      </c>
      <c r="G22" s="4">
        <f t="shared" si="5"/>
        <v>1479.2815921700308</v>
      </c>
    </row>
    <row r="23" spans="1:7" x14ac:dyDescent="0.25">
      <c r="A23">
        <v>5</v>
      </c>
      <c r="B23">
        <v>20.8</v>
      </c>
      <c r="C23">
        <v>24.75</v>
      </c>
      <c r="D23" s="1">
        <f t="shared" si="0"/>
        <v>0.97230237480425596</v>
      </c>
      <c r="E23" s="1">
        <f t="shared" si="1"/>
        <v>24.064483776405336</v>
      </c>
      <c r="F23" s="4">
        <f t="shared" si="4"/>
        <v>1525.8464169770866</v>
      </c>
      <c r="G23" s="4">
        <f t="shared" si="5"/>
        <v>1373.407417204272</v>
      </c>
    </row>
    <row r="24" spans="1:7" x14ac:dyDescent="0.25">
      <c r="A24">
        <v>5</v>
      </c>
      <c r="B24">
        <v>21.8</v>
      </c>
      <c r="C24">
        <v>25.3463840484619</v>
      </c>
      <c r="D24" s="1">
        <f t="shared" si="0"/>
        <v>0.97469174023663852</v>
      </c>
      <c r="E24" s="1">
        <f t="shared" si="1"/>
        <v>24.704911176901504</v>
      </c>
      <c r="F24" s="4">
        <f t="shared" si="4"/>
        <v>1315.0782658923617</v>
      </c>
      <c r="G24" s="4">
        <f t="shared" si="5"/>
        <v>1302.1866053646522</v>
      </c>
    </row>
    <row r="25" spans="1:7" x14ac:dyDescent="0.25">
      <c r="A25">
        <v>5</v>
      </c>
      <c r="B25">
        <v>22.8</v>
      </c>
      <c r="C25">
        <v>26.0024089813232</v>
      </c>
      <c r="D25" s="1">
        <f t="shared" si="0"/>
        <v>0.976788088344826</v>
      </c>
      <c r="E25" s="1">
        <f t="shared" si="1"/>
        <v>25.398843361227023</v>
      </c>
      <c r="F25" s="4">
        <f t="shared" si="4"/>
        <v>1180.2959956329744</v>
      </c>
      <c r="G25" s="4">
        <f t="shared" si="5"/>
        <v>1287.2329295071097</v>
      </c>
    </row>
    <row r="26" spans="1:7" x14ac:dyDescent="0.25">
      <c r="A26">
        <v>5</v>
      </c>
      <c r="B26">
        <v>23.8</v>
      </c>
      <c r="C26">
        <v>27.075902938842798</v>
      </c>
      <c r="D26" s="1">
        <f t="shared" si="0"/>
        <v>0.97863695280993401</v>
      </c>
      <c r="E26" s="1">
        <f t="shared" si="1"/>
        <v>26.497479146646654</v>
      </c>
      <c r="F26" s="4">
        <f t="shared" si="4"/>
        <v>1204.1756695964175</v>
      </c>
      <c r="G26" s="4">
        <f t="shared" si="5"/>
        <v>1292.6280889946313</v>
      </c>
    </row>
    <row r="27" spans="1:7" x14ac:dyDescent="0.25">
      <c r="A27">
        <v>5</v>
      </c>
      <c r="B27">
        <v>24.8</v>
      </c>
      <c r="C27">
        <v>27.910842895507798</v>
      </c>
      <c r="D27" s="1">
        <f t="shared" si="0"/>
        <v>0.98027544152328505</v>
      </c>
      <c r="E27" s="1">
        <f t="shared" si="1"/>
        <v>27.360313842680952</v>
      </c>
      <c r="F27" s="4">
        <f t="shared" si="4"/>
        <v>1300.2539517051564</v>
      </c>
      <c r="G27" s="4">
        <f t="shared" si="5"/>
        <v>1304.188798352696</v>
      </c>
    </row>
    <row r="28" spans="1:7" x14ac:dyDescent="0.25">
      <c r="A28">
        <v>5</v>
      </c>
      <c r="B28">
        <v>25.8</v>
      </c>
      <c r="C28">
        <v>28.328311920166001</v>
      </c>
      <c r="D28" s="1">
        <f t="shared" si="0"/>
        <v>0.98173402262781329</v>
      </c>
      <c r="E28" s="1">
        <f t="shared" si="1"/>
        <v>27.810867615640003</v>
      </c>
      <c r="F28" s="4">
        <f t="shared" si="4"/>
        <v>1476.7732407331407</v>
      </c>
      <c r="G28" s="4">
        <f t="shared" si="5"/>
        <v>1277.8266665730566</v>
      </c>
    </row>
    <row r="29" spans="1:7" x14ac:dyDescent="0.25">
      <c r="A29">
        <v>5</v>
      </c>
      <c r="B29">
        <v>26.8</v>
      </c>
      <c r="C29">
        <v>28.984336853027301</v>
      </c>
      <c r="D29" s="1">
        <f t="shared" ref="D29:D33" si="6">B29/SQRT(A29*A29+B29*B29)</f>
        <v>0.98303788817427395</v>
      </c>
      <c r="E29" s="1">
        <f t="shared" ref="E29:E33" si="7">C29*D29</f>
        <v>28.492701290131741</v>
      </c>
      <c r="F29" s="4">
        <f t="shared" si="4"/>
        <v>1298.3794317392505</v>
      </c>
      <c r="G29" s="4">
        <f t="shared" si="5"/>
        <v>1285.4392692711424</v>
      </c>
    </row>
    <row r="30" spans="1:7" x14ac:dyDescent="0.25">
      <c r="A30">
        <v>5</v>
      </c>
      <c r="B30">
        <v>27.8</v>
      </c>
      <c r="C30">
        <v>29.759637832641602</v>
      </c>
      <c r="D30" s="1">
        <f t="shared" si="6"/>
        <v>0.9842080047280356</v>
      </c>
      <c r="E30" s="1">
        <f t="shared" si="7"/>
        <v>29.289673772693153</v>
      </c>
      <c r="F30" s="4">
        <f t="shared" si="4"/>
        <v>1154.5996910361462</v>
      </c>
      <c r="G30" s="4">
        <f t="shared" si="5"/>
        <v>1226.222784553526</v>
      </c>
    </row>
    <row r="31" spans="1:7" x14ac:dyDescent="0.25">
      <c r="A31">
        <v>5</v>
      </c>
      <c r="B31">
        <v>28.8</v>
      </c>
      <c r="C31">
        <v>30.833131790161101</v>
      </c>
      <c r="D31" s="1">
        <f t="shared" si="6"/>
        <v>0.98526192972966187</v>
      </c>
      <c r="E31" s="1">
        <f t="shared" si="7"/>
        <v>30.378710927183111</v>
      </c>
      <c r="F31" s="4">
        <f t="shared" si="4"/>
        <v>1114.962072217591</v>
      </c>
      <c r="G31" s="4">
        <f t="shared" si="5"/>
        <v>1155.1904333602001</v>
      </c>
    </row>
    <row r="32" spans="1:7" x14ac:dyDescent="0.25">
      <c r="A32">
        <v>5</v>
      </c>
      <c r="B32">
        <v>29.8</v>
      </c>
      <c r="C32">
        <v>31.608432769775401</v>
      </c>
      <c r="D32" s="1">
        <f t="shared" si="6"/>
        <v>0.98621445097415816</v>
      </c>
      <c r="E32" s="1">
        <f t="shared" si="7"/>
        <v>31.172693170197636</v>
      </c>
      <c r="F32" s="4">
        <f t="shared" si="4"/>
        <v>1105.8810281954115</v>
      </c>
      <c r="G32" s="4">
        <f t="shared" si="5"/>
        <v>1114.962072217591</v>
      </c>
    </row>
    <row r="33" spans="1:7" x14ac:dyDescent="0.25">
      <c r="A33">
        <v>5</v>
      </c>
      <c r="B33">
        <v>30.8</v>
      </c>
      <c r="C33">
        <v>32.443370819091797</v>
      </c>
      <c r="D33" s="1">
        <f t="shared" si="6"/>
        <v>0.98707809136710378</v>
      </c>
      <c r="E33" s="1">
        <f t="shared" si="7"/>
        <v>32.02414054562432</v>
      </c>
      <c r="F33" s="4">
        <f t="shared" si="4"/>
        <v>1214.9940538309502</v>
      </c>
      <c r="G33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A0FF-86A0-43A1-8DBF-4E58E0B0921C}">
  <dimension ref="A1:O34"/>
  <sheetViews>
    <sheetView tabSelected="1" topLeftCell="N1" zoomScale="85" zoomScaleNormal="85" workbookViewId="0">
      <selection activeCell="AT13" sqref="AT13"/>
    </sheetView>
  </sheetViews>
  <sheetFormatPr defaultRowHeight="15" x14ac:dyDescent="0.25"/>
  <cols>
    <col min="1" max="3" width="12.7109375" customWidth="1"/>
    <col min="5" max="7" width="12.7109375" customWidth="1"/>
    <col min="9" max="11" width="12.5703125" customWidth="1"/>
    <col min="13" max="15" width="12.5703125" customWidth="1"/>
  </cols>
  <sheetData>
    <row r="1" spans="1:15" x14ac:dyDescent="0.25">
      <c r="A1" t="s">
        <v>12</v>
      </c>
      <c r="B1" t="s">
        <v>10</v>
      </c>
      <c r="E1" t="s">
        <v>12</v>
      </c>
      <c r="F1" t="s">
        <v>11</v>
      </c>
      <c r="I1" t="s">
        <v>9</v>
      </c>
      <c r="J1" t="s">
        <v>10</v>
      </c>
      <c r="M1" t="s">
        <v>9</v>
      </c>
      <c r="N1" t="s">
        <v>11</v>
      </c>
    </row>
    <row r="3" spans="1:15" x14ac:dyDescent="0.25">
      <c r="A3" s="7" t="s">
        <v>1</v>
      </c>
      <c r="B3" s="7" t="s">
        <v>4</v>
      </c>
      <c r="C3" s="7" t="s">
        <v>5</v>
      </c>
      <c r="E3" s="7" t="s">
        <v>1</v>
      </c>
      <c r="F3" s="7" t="s">
        <v>4</v>
      </c>
      <c r="G3" s="7" t="s">
        <v>7</v>
      </c>
      <c r="I3" s="7" t="s">
        <v>1</v>
      </c>
      <c r="J3" s="7" t="s">
        <v>4</v>
      </c>
      <c r="K3" s="7" t="s">
        <v>5</v>
      </c>
      <c r="M3" s="7" t="s">
        <v>1</v>
      </c>
      <c r="N3" s="7" t="s">
        <v>4</v>
      </c>
      <c r="O3" s="7" t="s">
        <v>7</v>
      </c>
    </row>
    <row r="4" spans="1:15" x14ac:dyDescent="0.25">
      <c r="A4" s="6">
        <v>2.0999999046325701</v>
      </c>
      <c r="B4" s="6">
        <v>3.5015153769513816</v>
      </c>
      <c r="C4" s="8">
        <v>705.57675410410434</v>
      </c>
      <c r="E4" s="6">
        <v>2.0999999046325701</v>
      </c>
      <c r="F4" s="6">
        <v>5.6820273274826203</v>
      </c>
      <c r="G4" s="8">
        <v>461.29421802737824</v>
      </c>
      <c r="I4" s="6">
        <v>0.80000001192092896</v>
      </c>
      <c r="J4" s="6">
        <v>1.3910779441653234</v>
      </c>
      <c r="K4" s="8">
        <v>689.59476638172293</v>
      </c>
      <c r="M4" s="6">
        <v>0.8</v>
      </c>
      <c r="N4" s="6">
        <v>3.8631532443844043</v>
      </c>
      <c r="O4" s="8">
        <v>310.75569847025605</v>
      </c>
    </row>
    <row r="5" spans="1:15" x14ac:dyDescent="0.25">
      <c r="A5" s="6">
        <v>3.0999999046325701</v>
      </c>
      <c r="B5" s="6">
        <v>4.9358483078677589</v>
      </c>
      <c r="C5" s="8">
        <v>749.93364150781679</v>
      </c>
      <c r="E5" s="6">
        <v>3.0999999046325701</v>
      </c>
      <c r="F5" s="6">
        <v>7.9410472299445187</v>
      </c>
      <c r="G5" s="8">
        <v>480.41879556327291</v>
      </c>
      <c r="I5" s="6">
        <v>1.79999995231628</v>
      </c>
      <c r="J5" s="6">
        <v>2.8521804413129872</v>
      </c>
      <c r="K5" s="8">
        <v>767.38917108036344</v>
      </c>
      <c r="M5" s="6">
        <v>1.8</v>
      </c>
      <c r="N5" s="6">
        <v>6.4642365604065422</v>
      </c>
      <c r="O5" s="8">
        <v>346.18838411097329</v>
      </c>
    </row>
    <row r="6" spans="1:15" x14ac:dyDescent="0.25">
      <c r="A6" s="6">
        <v>4.0999999046325701</v>
      </c>
      <c r="B6" s="6">
        <v>6.1534151291921377</v>
      </c>
      <c r="C6" s="8">
        <v>878.92677489567484</v>
      </c>
      <c r="E6" s="6">
        <v>4.0999999046325701</v>
      </c>
      <c r="F6" s="6">
        <v>9.9297529462219742</v>
      </c>
      <c r="G6" s="8">
        <v>525.22265556831553</v>
      </c>
      <c r="I6" s="6">
        <v>2.7999999523162802</v>
      </c>
      <c r="J6" s="6">
        <v>3.9264850263038249</v>
      </c>
      <c r="K6" s="8">
        <v>985.17111950278627</v>
      </c>
      <c r="M6" s="6">
        <v>2.8</v>
      </c>
      <c r="N6" s="6">
        <v>8.1882265229426814</v>
      </c>
      <c r="O6" s="8">
        <v>501.97615070721702</v>
      </c>
    </row>
    <row r="7" spans="1:15" x14ac:dyDescent="0.25">
      <c r="A7" s="6">
        <v>5.0999999046325701</v>
      </c>
      <c r="B7" s="6">
        <v>7.2228403491893838</v>
      </c>
      <c r="C7" s="8">
        <v>1158.5367844428124</v>
      </c>
      <c r="E7" s="6">
        <v>5.0999999046325701</v>
      </c>
      <c r="F7" s="6">
        <v>11.722436523528513</v>
      </c>
      <c r="G7" s="8">
        <v>597.64512563174094</v>
      </c>
      <c r="I7" s="6">
        <v>3.7999999523162802</v>
      </c>
      <c r="J7" s="6">
        <v>4.7356902065160345</v>
      </c>
      <c r="K7" s="8">
        <v>1280.8890730121309</v>
      </c>
      <c r="M7" s="6">
        <v>3.8</v>
      </c>
      <c r="N7" s="6">
        <v>10.573283285321674</v>
      </c>
      <c r="O7" s="8">
        <v>587.06368385456085</v>
      </c>
    </row>
    <row r="8" spans="1:15" x14ac:dyDescent="0.25">
      <c r="A8" s="6">
        <v>6.0999999046325701</v>
      </c>
      <c r="B8" s="6">
        <v>7.972749574984392</v>
      </c>
      <c r="C8" s="8">
        <v>1671.5260067879033</v>
      </c>
      <c r="E8" s="6">
        <v>6.0999999046325701</v>
      </c>
      <c r="F8" s="6">
        <v>13.260429208386537</v>
      </c>
      <c r="G8" s="8">
        <v>651.56850264874959</v>
      </c>
      <c r="I8" s="6">
        <v>4.8000001907348597</v>
      </c>
      <c r="J8" s="6">
        <v>5.3959103281492027</v>
      </c>
      <c r="K8" s="8">
        <v>1558.2782735856103</v>
      </c>
      <c r="M8" s="6">
        <v>4.8</v>
      </c>
      <c r="N8" s="6">
        <v>11.605747819467053</v>
      </c>
      <c r="O8" s="8">
        <v>609.79429075085557</v>
      </c>
    </row>
    <row r="9" spans="1:15" x14ac:dyDescent="0.25">
      <c r="A9" s="6">
        <v>7.0999999046325701</v>
      </c>
      <c r="B9" s="6">
        <v>7.9798090497738192</v>
      </c>
      <c r="C9" s="8">
        <v>2849.3901964160009</v>
      </c>
      <c r="E9" s="6">
        <v>7.0999999046325701</v>
      </c>
      <c r="F9" s="6">
        <v>14.588469093478066</v>
      </c>
      <c r="G9" s="8">
        <v>705.86201691832946</v>
      </c>
      <c r="I9" s="6">
        <v>5.8000001907348597</v>
      </c>
      <c r="J9" s="6">
        <v>5.9543406261047283</v>
      </c>
      <c r="K9" s="8">
        <v>1769.3461994821891</v>
      </c>
      <c r="M9" s="6">
        <v>5.8</v>
      </c>
      <c r="N9" s="6">
        <v>13.144712295602035</v>
      </c>
      <c r="O9" s="8">
        <v>711.64146348061684</v>
      </c>
    </row>
    <row r="10" spans="1:15" x14ac:dyDescent="0.25">
      <c r="A10" s="6">
        <v>8.1000003814697301</v>
      </c>
      <c r="B10" s="6">
        <v>8.3952369029946254</v>
      </c>
      <c r="C10" s="8">
        <v>3208.6411664412549</v>
      </c>
      <c r="E10" s="6">
        <v>8.1000003814697301</v>
      </c>
      <c r="F10" s="6">
        <v>16.151500162259119</v>
      </c>
      <c r="G10" s="8">
        <v>745.59633005449484</v>
      </c>
      <c r="I10" s="6">
        <v>6.8000001907348597</v>
      </c>
      <c r="J10" s="6">
        <v>6.5024738391798067</v>
      </c>
      <c r="K10" s="8">
        <v>1920.1909061026467</v>
      </c>
      <c r="M10" s="6">
        <v>6.8</v>
      </c>
      <c r="N10" s="6">
        <v>14.990933073995709</v>
      </c>
      <c r="O10" s="8">
        <v>760.32178578341689</v>
      </c>
    </row>
    <row r="11" spans="1:15" x14ac:dyDescent="0.25">
      <c r="A11" s="6">
        <v>9.1000003814697301</v>
      </c>
      <c r="B11" s="6">
        <v>8.5985804433828505</v>
      </c>
      <c r="C11" s="8">
        <v>2306.5977991534096</v>
      </c>
      <c r="E11" s="6">
        <v>9.1000003814697301</v>
      </c>
      <c r="F11" s="6">
        <v>17.349044670197991</v>
      </c>
      <c r="G11" s="8">
        <v>767.20141854144754</v>
      </c>
      <c r="I11" s="6">
        <v>7.8000001907348597</v>
      </c>
      <c r="J11" s="6">
        <v>7.0007807305740251</v>
      </c>
      <c r="K11" s="8">
        <v>2072.2419956403169</v>
      </c>
      <c r="M11" s="6">
        <v>7.8</v>
      </c>
      <c r="N11" s="6">
        <v>15.815662951190628</v>
      </c>
      <c r="O11" s="8">
        <v>960.04468288970111</v>
      </c>
    </row>
    <row r="12" spans="1:15" x14ac:dyDescent="0.25">
      <c r="A12" s="6">
        <v>10.1000003814697</v>
      </c>
      <c r="B12" s="6">
        <v>9.1095970107724025</v>
      </c>
      <c r="C12" s="8">
        <v>2226.8183776724181</v>
      </c>
      <c r="E12" s="6">
        <v>10.1000003814697</v>
      </c>
      <c r="F12" s="6">
        <v>18.570340159750025</v>
      </c>
      <c r="G12" s="8">
        <v>798.74890668477894</v>
      </c>
      <c r="I12" s="6">
        <v>8.8000001907348597</v>
      </c>
      <c r="J12" s="6">
        <v>7.4731356525006136</v>
      </c>
      <c r="K12" s="8">
        <v>2166.8511662835317</v>
      </c>
      <c r="M12" s="6">
        <v>8.8000000000000007</v>
      </c>
      <c r="N12" s="6">
        <v>16.644855651701487</v>
      </c>
      <c r="O12" s="8">
        <v>1382.2275764775079</v>
      </c>
    </row>
    <row r="13" spans="1:15" x14ac:dyDescent="0.25">
      <c r="A13" s="6">
        <v>11.1000003814697</v>
      </c>
      <c r="B13" s="6">
        <v>9.7265871063178029</v>
      </c>
      <c r="C13" s="8">
        <v>2240.5670550998311</v>
      </c>
      <c r="E13" s="6">
        <v>11.1000003814697</v>
      </c>
      <c r="F13" s="6">
        <v>19.881367696897218</v>
      </c>
      <c r="G13" s="8">
        <v>848.6658315968466</v>
      </c>
      <c r="I13" s="6">
        <v>9.8000001907348597</v>
      </c>
      <c r="J13" s="6">
        <v>7.8741211770252182</v>
      </c>
      <c r="K13" s="8">
        <v>2176.4917886781823</v>
      </c>
      <c r="M13" s="6">
        <v>9.8000000000000007</v>
      </c>
      <c r="N13" s="6">
        <v>17.265218851675787</v>
      </c>
      <c r="O13" s="8">
        <v>1462.5857055471033</v>
      </c>
    </row>
    <row r="14" spans="1:15" x14ac:dyDescent="0.25">
      <c r="A14" s="6">
        <v>12.1000003814697</v>
      </c>
      <c r="B14" s="6">
        <v>10.02386117458494</v>
      </c>
      <c r="C14" s="8">
        <v>2670.3843522826701</v>
      </c>
      <c r="E14" s="6">
        <v>12.1000003814697</v>
      </c>
      <c r="F14" s="6">
        <v>21.143314086419892</v>
      </c>
      <c r="G14" s="8">
        <v>964.57446799682077</v>
      </c>
      <c r="I14" s="6">
        <v>10.800000190734901</v>
      </c>
      <c r="J14" s="6">
        <v>8.3705655240566035</v>
      </c>
      <c r="K14" s="8">
        <v>2243.0248535656442</v>
      </c>
      <c r="M14" s="6">
        <v>10.8</v>
      </c>
      <c r="N14" s="6">
        <v>17.859605003390168</v>
      </c>
      <c r="O14" s="8">
        <v>1535.8127051615618</v>
      </c>
    </row>
    <row r="15" spans="1:15" x14ac:dyDescent="0.25">
      <c r="A15" s="6">
        <v>13.1000003814697</v>
      </c>
      <c r="B15" s="6">
        <v>10.315294832911626</v>
      </c>
      <c r="C15" s="8">
        <v>3593.6212859988423</v>
      </c>
      <c r="E15" s="6">
        <v>13.1000003814697</v>
      </c>
      <c r="F15" s="6">
        <v>21.91110162152545</v>
      </c>
      <c r="G15" s="8">
        <v>1062.9314739656693</v>
      </c>
      <c r="I15" s="6">
        <v>11.800000190734901</v>
      </c>
      <c r="J15" s="6">
        <v>8.846978477248447</v>
      </c>
      <c r="K15" s="8">
        <v>2390.0262683733595</v>
      </c>
      <c r="M15" s="6">
        <v>11.8</v>
      </c>
      <c r="N15" s="6">
        <v>18.615270445855611</v>
      </c>
      <c r="O15" s="8">
        <v>1605.0362724290951</v>
      </c>
    </row>
    <row r="16" spans="1:15" x14ac:dyDescent="0.25">
      <c r="A16" s="6">
        <v>14.1000003814697</v>
      </c>
      <c r="B16" s="6">
        <v>10.633883324577836</v>
      </c>
      <c r="C16" s="8">
        <v>3324.5395606670595</v>
      </c>
      <c r="E16" s="6">
        <v>14.1000003814697</v>
      </c>
      <c r="F16" s="6">
        <v>22.635804481364886</v>
      </c>
      <c r="G16" s="8">
        <v>1167.2844153894966</v>
      </c>
      <c r="I16" s="6">
        <v>12.800000190734901</v>
      </c>
      <c r="J16" s="6">
        <v>9.210203716956185</v>
      </c>
      <c r="K16" s="8">
        <v>2664.1328463989571</v>
      </c>
      <c r="M16" s="6">
        <v>12.8</v>
      </c>
      <c r="N16" s="6">
        <v>19.220565768060759</v>
      </c>
      <c r="O16" s="8">
        <v>1767.2709959320578</v>
      </c>
    </row>
    <row r="17" spans="1:15" x14ac:dyDescent="0.25">
      <c r="A17" s="6">
        <v>15.1000003814697</v>
      </c>
      <c r="B17" s="6">
        <v>10.800862944574687</v>
      </c>
      <c r="C17" s="8">
        <v>3232.8260678343058</v>
      </c>
      <c r="E17" s="6">
        <v>15.1000003814697</v>
      </c>
      <c r="F17" s="6">
        <v>23.790673236290935</v>
      </c>
      <c r="G17" s="8">
        <v>1086.6638726775911</v>
      </c>
      <c r="I17" s="6">
        <v>13.800000190734901</v>
      </c>
      <c r="J17" s="6">
        <v>9.5264815196240722</v>
      </c>
      <c r="K17" s="8">
        <v>2955.1991359689005</v>
      </c>
      <c r="M17" s="6">
        <v>13.8</v>
      </c>
      <c r="N17" s="6">
        <v>19.681134612489597</v>
      </c>
      <c r="O17" s="8">
        <v>2016.2620615036699</v>
      </c>
    </row>
    <row r="18" spans="1:15" x14ac:dyDescent="0.25">
      <c r="A18" s="6">
        <v>16.100000381469702</v>
      </c>
      <c r="B18" s="6">
        <v>11.259778293845105</v>
      </c>
      <c r="C18" s="8">
        <v>2897.529282169407</v>
      </c>
      <c r="E18" s="6">
        <v>16.100000381469702</v>
      </c>
      <c r="F18" s="6">
        <v>24.45686907138376</v>
      </c>
      <c r="G18" s="8">
        <v>1008.6349568020656</v>
      </c>
      <c r="I18" s="6">
        <v>14.800000190734901</v>
      </c>
      <c r="J18" s="6">
        <v>9.8974382873567031</v>
      </c>
      <c r="K18" s="8">
        <v>3048.3256908620938</v>
      </c>
      <c r="M18" s="6">
        <v>14.8</v>
      </c>
      <c r="N18" s="6">
        <v>20.114456796105273</v>
      </c>
      <c r="O18" s="8">
        <v>1872.1124903223867</v>
      </c>
    </row>
    <row r="19" spans="1:15" x14ac:dyDescent="0.25">
      <c r="A19" s="6">
        <v>17.100000381469702</v>
      </c>
      <c r="B19" s="6">
        <v>11.524425360808445</v>
      </c>
      <c r="C19" s="8">
        <v>2674.6966602498032</v>
      </c>
      <c r="E19" s="6">
        <v>17.100000381469702</v>
      </c>
      <c r="F19" s="6">
        <v>25.571559938288587</v>
      </c>
      <c r="G19" s="8">
        <v>840.98634993195662</v>
      </c>
      <c r="I19" s="6">
        <v>15.800000190734901</v>
      </c>
      <c r="J19" s="6">
        <v>10.193372487557466</v>
      </c>
      <c r="K19" s="8">
        <v>3031.6351225417307</v>
      </c>
      <c r="M19" s="6">
        <v>15.8</v>
      </c>
      <c r="N19" s="6">
        <v>20.639962464133767</v>
      </c>
      <c r="O19" s="8">
        <v>1720.2932048482896</v>
      </c>
    </row>
    <row r="20" spans="1:15" x14ac:dyDescent="0.25">
      <c r="A20" s="6">
        <v>18.100000381469702</v>
      </c>
      <c r="B20" s="6">
        <v>11.966862912696222</v>
      </c>
      <c r="C20" s="8">
        <v>2629.0732834526943</v>
      </c>
      <c r="E20" s="6">
        <v>18.100000381469702</v>
      </c>
      <c r="F20" s="6">
        <v>26.67269711311776</v>
      </c>
      <c r="G20" s="8">
        <v>823.89842618345222</v>
      </c>
      <c r="I20" s="6">
        <v>16.799999237060501</v>
      </c>
      <c r="J20" s="6">
        <v>10.515273558930586</v>
      </c>
      <c r="K20" s="8">
        <v>2964.8981249462681</v>
      </c>
      <c r="M20" s="6">
        <v>16.8</v>
      </c>
      <c r="N20" s="6">
        <v>21.37810023241423</v>
      </c>
      <c r="O20" s="8">
        <v>1507.7195306293897</v>
      </c>
    </row>
    <row r="21" spans="1:15" x14ac:dyDescent="0.25">
      <c r="A21" s="6">
        <v>19.100000381469702</v>
      </c>
      <c r="B21" s="6">
        <v>12.30704507659893</v>
      </c>
      <c r="C21" s="8">
        <v>2427.4867206491513</v>
      </c>
      <c r="E21" s="6">
        <v>19.100000381469702</v>
      </c>
      <c r="F21" s="6">
        <v>28.462998827607358</v>
      </c>
      <c r="G21" s="8">
        <v>923.59033486804685</v>
      </c>
      <c r="I21" s="6">
        <v>17.799999237060501</v>
      </c>
      <c r="J21" s="6">
        <v>10.864990880757249</v>
      </c>
      <c r="K21" s="8">
        <v>2899.372756379239</v>
      </c>
      <c r="M21" s="6">
        <v>17.8</v>
      </c>
      <c r="N21" s="6">
        <v>21.9330495820926</v>
      </c>
      <c r="O21" s="8">
        <v>1436.1031621877316</v>
      </c>
    </row>
    <row r="22" spans="1:15" x14ac:dyDescent="0.25">
      <c r="A22" s="6">
        <v>20.100000381469702</v>
      </c>
      <c r="B22" s="6">
        <v>12.758165812540696</v>
      </c>
      <c r="C22" s="8">
        <v>2671.5517328089327</v>
      </c>
      <c r="E22" s="6">
        <v>20.100000381469702</v>
      </c>
      <c r="F22" s="6">
        <v>28.958436185817714</v>
      </c>
      <c r="G22" s="8">
        <v>1117.0978235519719</v>
      </c>
      <c r="I22" s="6">
        <v>18.799999237060501</v>
      </c>
      <c r="J22" s="6">
        <v>11.244029753380902</v>
      </c>
      <c r="K22" s="8">
        <v>2618.0694585612268</v>
      </c>
      <c r="M22" s="6">
        <v>18.8</v>
      </c>
      <c r="N22" s="6">
        <v>22.765831613766835</v>
      </c>
      <c r="O22" s="8">
        <v>1453.8497944369369</v>
      </c>
    </row>
    <row r="23" spans="1:15" x14ac:dyDescent="0.25">
      <c r="A23" s="6">
        <v>21.100000381469702</v>
      </c>
      <c r="B23" s="6">
        <v>13.185113954337238</v>
      </c>
      <c r="C23" s="8">
        <v>2675.8738214053983</v>
      </c>
      <c r="E23" s="6">
        <v>21.100000381469702</v>
      </c>
      <c r="F23" s="6">
        <v>29.564689098529374</v>
      </c>
      <c r="G23" s="8">
        <v>1554.8505284860501</v>
      </c>
      <c r="I23" s="6">
        <v>19.799999237060501</v>
      </c>
      <c r="J23" s="6">
        <v>11.551866329917299</v>
      </c>
      <c r="K23" s="8">
        <v>2770.5989547242357</v>
      </c>
      <c r="M23" s="6">
        <v>19.8</v>
      </c>
      <c r="N23" s="6">
        <v>23.418466697502055</v>
      </c>
      <c r="O23" s="8">
        <v>1456.9961782128048</v>
      </c>
    </row>
    <row r="24" spans="1:15" x14ac:dyDescent="0.25">
      <c r="A24" s="6">
        <v>22.100000381469702</v>
      </c>
      <c r="B24" s="6">
        <v>13.371971491871102</v>
      </c>
      <c r="C24" s="8">
        <v>2731.8194567863575</v>
      </c>
      <c r="E24" s="6">
        <v>22.100000381469702</v>
      </c>
      <c r="F24" s="6">
        <v>30.285061593106285</v>
      </c>
      <c r="G24" s="8">
        <v>1390.409560052412</v>
      </c>
      <c r="I24" s="6">
        <v>20.799999237060501</v>
      </c>
      <c r="J24" s="6">
        <v>12.068217051888775</v>
      </c>
      <c r="K24" s="8">
        <v>2877.6606318792019</v>
      </c>
      <c r="M24" s="6">
        <v>20.8</v>
      </c>
      <c r="N24" s="6">
        <v>24.064483776405336</v>
      </c>
      <c r="O24" s="8">
        <v>1525.8464169770866</v>
      </c>
    </row>
    <row r="25" spans="1:15" x14ac:dyDescent="0.25">
      <c r="A25" s="6">
        <v>23.100000381469702</v>
      </c>
      <c r="B25" s="6">
        <v>13.841320515785279</v>
      </c>
      <c r="C25" s="8">
        <v>2734.6914096431319</v>
      </c>
      <c r="E25" s="6">
        <v>23.100000381469702</v>
      </c>
      <c r="F25" s="6">
        <v>30.997385372356558</v>
      </c>
      <c r="G25" s="8">
        <v>1271.518296066735</v>
      </c>
      <c r="I25" s="6">
        <v>21.799999237060501</v>
      </c>
      <c r="J25" s="6">
        <v>12.225948353100801</v>
      </c>
      <c r="K25" s="8">
        <v>3036.7442173224258</v>
      </c>
      <c r="M25" s="6">
        <v>21.8</v>
      </c>
      <c r="N25" s="6">
        <v>24.704911176901504</v>
      </c>
      <c r="O25" s="8">
        <v>1315.0782658923617</v>
      </c>
    </row>
    <row r="26" spans="1:15" x14ac:dyDescent="0.25">
      <c r="A26" s="6">
        <v>24.100000381469702</v>
      </c>
      <c r="B26" s="6">
        <v>14.236510592080707</v>
      </c>
      <c r="C26" s="8">
        <v>3034.4971164895596</v>
      </c>
      <c r="E26" s="6">
        <v>24.100000381469702</v>
      </c>
      <c r="F26" s="6">
        <v>31.827875282544117</v>
      </c>
      <c r="G26" s="8">
        <v>1214.8901545494778</v>
      </c>
      <c r="I26" s="6">
        <v>22.799999237060501</v>
      </c>
      <c r="J26" s="6">
        <v>12.612287777343276</v>
      </c>
      <c r="K26" s="8">
        <v>3489.1198516419249</v>
      </c>
      <c r="M26" s="6">
        <v>22.8</v>
      </c>
      <c r="N26" s="6">
        <v>25.398843361227023</v>
      </c>
      <c r="O26" s="8">
        <v>1180.2959956329744</v>
      </c>
    </row>
    <row r="27" spans="1:15" x14ac:dyDescent="0.25">
      <c r="A27" s="6">
        <v>25.100000381469702</v>
      </c>
      <c r="B27" s="6">
        <v>14.557330701292409</v>
      </c>
      <c r="C27" s="8">
        <v>3978.1111721507277</v>
      </c>
      <c r="E27" s="6">
        <v>25.100000381469702</v>
      </c>
      <c r="F27" s="6">
        <v>32.715656461476527</v>
      </c>
      <c r="G27" s="8">
        <v>1187.6079630630252</v>
      </c>
      <c r="I27" s="6">
        <v>23.799999237060501</v>
      </c>
      <c r="J27" s="6">
        <v>12.890899516030997</v>
      </c>
      <c r="K27" s="8">
        <v>3675.4556249513971</v>
      </c>
      <c r="M27" s="6">
        <v>23.8</v>
      </c>
      <c r="N27" s="6">
        <v>26.497479146646654</v>
      </c>
      <c r="O27" s="8">
        <v>1204.1756695964175</v>
      </c>
    </row>
    <row r="28" spans="1:15" x14ac:dyDescent="0.25">
      <c r="A28" s="6">
        <v>26.100000381469702</v>
      </c>
      <c r="B28" s="6">
        <v>14.442566562466933</v>
      </c>
      <c r="C28" s="8">
        <v>4526.561590635115</v>
      </c>
      <c r="E28" s="6">
        <v>26.100000381469702</v>
      </c>
      <c r="F28" s="6">
        <v>33.536144464320373</v>
      </c>
      <c r="G28" s="8">
        <v>1190.7841584752355</v>
      </c>
      <c r="I28" s="6">
        <v>24.799999237060501</v>
      </c>
      <c r="J28" s="6">
        <v>13.152257555569596</v>
      </c>
      <c r="K28" s="8">
        <v>4044.234695838883</v>
      </c>
      <c r="M28" s="6">
        <v>24.8</v>
      </c>
      <c r="N28" s="6">
        <v>27.360313842680952</v>
      </c>
      <c r="O28" s="8">
        <v>1300.2539517051564</v>
      </c>
    </row>
    <row r="29" spans="1:15" x14ac:dyDescent="0.25">
      <c r="A29" s="6">
        <v>27.100000381469702</v>
      </c>
      <c r="B29" s="6">
        <v>14.830617231382405</v>
      </c>
      <c r="C29" s="8">
        <v>3438.4363804973318</v>
      </c>
      <c r="E29" s="6">
        <v>27.100000381469702</v>
      </c>
      <c r="F29" s="6">
        <v>34.352483416608962</v>
      </c>
      <c r="G29" s="8">
        <v>1221.8736441377528</v>
      </c>
      <c r="I29" s="6">
        <v>25.799999237060501</v>
      </c>
      <c r="J29" s="6">
        <v>13.274712919556839</v>
      </c>
      <c r="K29" s="8">
        <v>4065.4687882191542</v>
      </c>
      <c r="M29" s="6">
        <v>25.8</v>
      </c>
      <c r="N29" s="6">
        <v>27.810867615640003</v>
      </c>
      <c r="O29" s="8">
        <v>1476.7732407331407</v>
      </c>
    </row>
    <row r="30" spans="1:15" x14ac:dyDescent="0.25">
      <c r="I30" s="6">
        <v>26.799999237060501</v>
      </c>
      <c r="J30" s="6">
        <v>13.635816837597051</v>
      </c>
      <c r="K30" s="8">
        <v>4140.1418186771889</v>
      </c>
      <c r="M30" s="6">
        <v>26.8</v>
      </c>
      <c r="N30" s="6">
        <v>28.492701290131741</v>
      </c>
      <c r="O30" s="8">
        <v>1298.3794317392505</v>
      </c>
    </row>
    <row r="31" spans="1:15" x14ac:dyDescent="0.25">
      <c r="I31" s="6">
        <v>27.799999237060501</v>
      </c>
      <c r="J31" s="6">
        <v>13.858337640256675</v>
      </c>
      <c r="K31" s="8">
        <v>3800.9182807053426</v>
      </c>
      <c r="M31" s="6">
        <v>27.8</v>
      </c>
      <c r="N31" s="6">
        <v>29.289673772693153</v>
      </c>
      <c r="O31" s="8">
        <v>1154.5996910361462</v>
      </c>
    </row>
    <row r="32" spans="1:15" x14ac:dyDescent="0.25">
      <c r="I32" s="6">
        <v>28.799999237060501</v>
      </c>
      <c r="J32" s="6">
        <v>14.045302902181749</v>
      </c>
      <c r="K32" s="8">
        <v>3756.8856536207886</v>
      </c>
      <c r="M32" s="6">
        <v>28.8</v>
      </c>
      <c r="N32" s="6">
        <v>30.378710927183111</v>
      </c>
      <c r="O32" s="8">
        <v>1114.962072217591</v>
      </c>
    </row>
    <row r="33" spans="9:15" x14ac:dyDescent="0.25">
      <c r="I33" s="6">
        <v>29.799999237060501</v>
      </c>
      <c r="J33" s="6">
        <v>14.369045919175546</v>
      </c>
      <c r="K33" s="8">
        <v>3472.3165885615399</v>
      </c>
      <c r="M33" s="6">
        <v>29.8</v>
      </c>
      <c r="N33" s="6">
        <v>31.172693170197636</v>
      </c>
      <c r="O33" s="8">
        <v>1105.8810281954115</v>
      </c>
    </row>
    <row r="34" spans="9:15" x14ac:dyDescent="0.25">
      <c r="I34" s="6">
        <v>30.649999618530298</v>
      </c>
      <c r="J34" s="6">
        <v>14.655671360740254</v>
      </c>
      <c r="K34" s="8">
        <v>3032.2005062656581</v>
      </c>
      <c r="M34" s="6">
        <v>30.8</v>
      </c>
      <c r="N34" s="6">
        <v>32.02414054562432</v>
      </c>
      <c r="O34" s="8">
        <v>1214.9940538309502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Skv_F_P</vt:lpstr>
      <vt:lpstr>Skv_F_S</vt:lpstr>
      <vt:lpstr>Skv_E_P</vt:lpstr>
      <vt:lpstr>Skv_E_S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Brigitta</dc:creator>
  <cp:lastModifiedBy>Brigitta</cp:lastModifiedBy>
  <dcterms:created xsi:type="dcterms:W3CDTF">2015-06-05T18:19:34Z</dcterms:created>
  <dcterms:modified xsi:type="dcterms:W3CDTF">2025-08-12T09:03:28Z</dcterms:modified>
</cp:coreProperties>
</file>